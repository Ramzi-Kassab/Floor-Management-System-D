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3"/>
  <workbookPr/>
  <mc:AlternateContent xmlns:mc="http://schemas.openxmlformats.org/markup-compatibility/2006">
    <mc:Choice Requires="x15">
      <x15ac:absPath xmlns:x15ac="http://schemas.microsoft.com/office/spreadsheetml/2010/11/ac" url="https://alrushaidnet-my.sharepoint.com/personal/irshad_ardtco_com/Documents/MicrosoftForms/"/>
    </mc:Choice>
  </mc:AlternateContent>
  <xr:revisionPtr revIDLastSave="0" documentId="8_{E744E8ED-3966-455F-B842-D0DF287BB8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Completed" sheetId="2" r:id="rId2"/>
  </sheets>
  <definedNames>
    <definedName name="_xlnm._FilterDatabase" localSheetId="1" hidden="1">Completed!$A$1:$O$1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39" i="2" l="1"/>
  <c r="L138" i="2"/>
  <c r="L137" i="2"/>
  <c r="L136" i="2"/>
  <c r="L67" i="1"/>
  <c r="L66" i="1"/>
  <c r="L65" i="1"/>
  <c r="L64" i="1"/>
  <c r="L63" i="1"/>
  <c r="L62" i="1"/>
  <c r="L35" i="1"/>
  <c r="L135" i="2"/>
  <c r="L133" i="2"/>
  <c r="L134" i="2"/>
  <c r="L132" i="2"/>
  <c r="L131" i="2"/>
  <c r="L61" i="1"/>
  <c r="L130" i="2"/>
  <c r="L129" i="2"/>
  <c r="L128" i="2"/>
  <c r="L124" i="2"/>
  <c r="L127" i="2"/>
  <c r="L126" i="2"/>
  <c r="L125" i="2"/>
  <c r="L34" i="1"/>
  <c r="L18" i="1"/>
  <c r="L123" i="2"/>
  <c r="L122" i="2"/>
  <c r="L121" i="2"/>
  <c r="L120" i="2"/>
  <c r="L119" i="2"/>
  <c r="L118" i="2"/>
  <c r="L117" i="2"/>
  <c r="L32" i="1"/>
  <c r="L33" i="1"/>
  <c r="L17" i="1"/>
  <c r="L16" i="1"/>
  <c r="L15" i="1"/>
  <c r="L60" i="1"/>
  <c r="L59" i="1"/>
  <c r="L58" i="1"/>
  <c r="L2" i="1"/>
  <c r="L3" i="1"/>
  <c r="L4" i="1"/>
  <c r="L6" i="1"/>
  <c r="L21" i="1"/>
  <c r="L9" i="1"/>
  <c r="L7" i="1"/>
  <c r="L10" i="1"/>
  <c r="L5" i="1"/>
  <c r="L11" i="1"/>
  <c r="L22" i="1"/>
  <c r="L26" i="1"/>
  <c r="L12" i="1"/>
  <c r="L23" i="1"/>
  <c r="L30" i="1"/>
  <c r="L8" i="1"/>
  <c r="L13" i="1"/>
  <c r="L14" i="1"/>
  <c r="L27" i="1"/>
  <c r="L19" i="1"/>
  <c r="L20" i="1"/>
  <c r="L24" i="1"/>
  <c r="L25" i="1"/>
  <c r="L28" i="1"/>
  <c r="L29" i="1"/>
  <c r="L31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116" i="2"/>
  <c r="L115" i="2"/>
  <c r="L114" i="2"/>
  <c r="L113" i="2"/>
  <c r="L112" i="2"/>
  <c r="L111" i="2"/>
  <c r="L110" i="2"/>
  <c r="L109" i="2"/>
  <c r="L108" i="2"/>
  <c r="L107" i="2"/>
  <c r="L106" i="2"/>
  <c r="L105" i="2"/>
  <c r="L104" i="2"/>
  <c r="L103" i="2"/>
  <c r="L102" i="2"/>
  <c r="L101" i="2"/>
  <c r="L100" i="2"/>
  <c r="L99" i="2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3" i="2"/>
  <c r="L84" i="2"/>
  <c r="L82" i="2"/>
  <c r="L81" i="2"/>
  <c r="L80" i="2"/>
  <c r="L79" i="2"/>
  <c r="L78" i="2"/>
  <c r="L77" i="2"/>
  <c r="L76" i="2"/>
  <c r="L75" i="2"/>
  <c r="L74" i="2"/>
  <c r="L73" i="2"/>
  <c r="L71" i="2"/>
  <c r="L72" i="2"/>
  <c r="L70" i="2"/>
  <c r="L69" i="2"/>
  <c r="L68" i="2"/>
  <c r="L66" i="2"/>
  <c r="L67" i="2"/>
  <c r="L65" i="2"/>
  <c r="L63" i="2"/>
  <c r="L64" i="2"/>
  <c r="L62" i="2"/>
  <c r="L61" i="2"/>
  <c r="L60" i="2"/>
  <c r="L59" i="2"/>
  <c r="L58" i="2"/>
  <c r="L57" i="2"/>
  <c r="L56" i="2"/>
  <c r="L55" i="2"/>
  <c r="L53" i="2"/>
  <c r="L54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2" i="2"/>
  <c r="L33" i="2"/>
  <c r="L31" i="2"/>
  <c r="L29" i="2"/>
  <c r="L30" i="2"/>
  <c r="L28" i="2"/>
  <c r="L24" i="2"/>
  <c r="L25" i="2"/>
  <c r="L26" i="2"/>
  <c r="L27" i="2"/>
  <c r="L20" i="2"/>
  <c r="L21" i="2"/>
  <c r="L22" i="2"/>
  <c r="L23" i="2"/>
  <c r="L19" i="2"/>
  <c r="L18" i="2"/>
  <c r="L17" i="2"/>
  <c r="L16" i="2"/>
  <c r="L15" i="2"/>
  <c r="L14" i="2"/>
  <c r="L13" i="2"/>
  <c r="L12" i="2"/>
  <c r="L11" i="2"/>
  <c r="L10" i="2"/>
  <c r="L5" i="2"/>
  <c r="L6" i="2"/>
  <c r="L7" i="2"/>
  <c r="L8" i="2"/>
  <c r="L9" i="2"/>
  <c r="L4" i="2"/>
  <c r="L3" i="2"/>
  <c r="L2" i="2"/>
</calcChain>
</file>

<file path=xl/sharedStrings.xml><?xml version="1.0" encoding="utf-8"?>
<sst xmlns="http://schemas.openxmlformats.org/spreadsheetml/2006/main" count="1431" uniqueCount="274">
  <si>
    <t>ResponseId</t>
  </si>
  <si>
    <t>CompletionTime</t>
  </si>
  <si>
    <t>Email</t>
  </si>
  <si>
    <t>Name</t>
  </si>
  <si>
    <t>Requester name</t>
  </si>
  <si>
    <t>Business Unit</t>
  </si>
  <si>
    <t>MAT Number</t>
  </si>
  <si>
    <t>Bit Size</t>
  </si>
  <si>
    <t>Bit Type</t>
  </si>
  <si>
    <t>New / Repair</t>
  </si>
  <si>
    <t>Serial (* Required for repair)</t>
  </si>
  <si>
    <t>DueDate</t>
  </si>
  <si>
    <t>Release Date</t>
  </si>
  <si>
    <t>Updated Due Date</t>
  </si>
  <si>
    <t>Justification for due date update</t>
  </si>
  <si>
    <t>Abdulrouf.AlSaqqa@halliburton.com</t>
  </si>
  <si>
    <t>AbdulRaouf</t>
  </si>
  <si>
    <t>LSTK</t>
  </si>
  <si>
    <t>HD54X</t>
  </si>
  <si>
    <t>Repair</t>
  </si>
  <si>
    <t>14304771R2</t>
  </si>
  <si>
    <t>20261006-USR</t>
  </si>
  <si>
    <t>SF53</t>
  </si>
  <si>
    <t>14012922R21</t>
  </si>
  <si>
    <t>12473125R1</t>
  </si>
  <si>
    <t>ramzi@ardtco.com</t>
  </si>
  <si>
    <t>Ramzi</t>
  </si>
  <si>
    <t>ARAMCO Repair</t>
  </si>
  <si>
    <t>MMD85DH-1</t>
  </si>
  <si>
    <t>2025-AR-092</t>
  </si>
  <si>
    <t>14293147R10</t>
  </si>
  <si>
    <t>Abdul.Jabbar@halliburton.com</t>
  </si>
  <si>
    <t>Ahmed Al Safi</t>
  </si>
  <si>
    <t>UR Sales</t>
  </si>
  <si>
    <t>HD75DKF</t>
  </si>
  <si>
    <t>New</t>
  </si>
  <si>
    <t>02/.3/26</t>
  </si>
  <si>
    <t>2026-ARDT-LV4-021-TTR</t>
  </si>
  <si>
    <t>GT65RHs-1</t>
  </si>
  <si>
    <t>2025-AR-101</t>
  </si>
  <si>
    <t>Salem.Sayyaleh@halliburton.com</t>
  </si>
  <si>
    <t>Salem</t>
  </si>
  <si>
    <t>Oil</t>
  </si>
  <si>
    <t>1252149 / 1224225</t>
  </si>
  <si>
    <t>Abdul Jabbar</t>
  </si>
  <si>
    <t>UR Rental - Sperry</t>
  </si>
  <si>
    <t>14337192R2</t>
  </si>
  <si>
    <t>2026-UR-1020</t>
  </si>
  <si>
    <t>2025-AR-093-USR</t>
  </si>
  <si>
    <t>GTD86DH</t>
  </si>
  <si>
    <t>2025-AR-097</t>
  </si>
  <si>
    <t>2025-AR-102</t>
  </si>
  <si>
    <t>MM65DH</t>
  </si>
  <si>
    <t>2025-AR-103</t>
  </si>
  <si>
    <t>Debraze / Cutters Claim</t>
  </si>
  <si>
    <t>14353148R3</t>
  </si>
  <si>
    <t>2026-UR-1021- Scrap</t>
  </si>
  <si>
    <t>2026-UR-1018</t>
  </si>
  <si>
    <t>GT65RHS-1</t>
  </si>
  <si>
    <t>2026-UR-1019</t>
  </si>
  <si>
    <t>GT54s</t>
  </si>
  <si>
    <t>13791954R10</t>
  </si>
  <si>
    <t>2025-AR-105</t>
  </si>
  <si>
    <t>2025-AR-106</t>
  </si>
  <si>
    <t>Rada.Aljassem@halliburton.com</t>
  </si>
  <si>
    <t xml:space="preserve">Reda </t>
  </si>
  <si>
    <t>Gas</t>
  </si>
  <si>
    <t>GT86DH</t>
  </si>
  <si>
    <t>2025-AR-094-USR</t>
  </si>
  <si>
    <t>2025-AR-099</t>
  </si>
  <si>
    <t>2025-AR-107</t>
  </si>
  <si>
    <t>1245357M</t>
  </si>
  <si>
    <t>MM65DH-1</t>
  </si>
  <si>
    <t>2025-AR-108</t>
  </si>
  <si>
    <t>1005462M</t>
  </si>
  <si>
    <t>2025-AR-096-BU</t>
  </si>
  <si>
    <t>2025-AR-104-BU</t>
  </si>
  <si>
    <t>2025-AR-109-BU</t>
  </si>
  <si>
    <t>2025-AR-110</t>
  </si>
  <si>
    <t>2025-AR-100-BU</t>
  </si>
  <si>
    <t>2025-AR-111</t>
  </si>
  <si>
    <t>HD65DK</t>
  </si>
  <si>
    <t>mohammed.bokhari@ardtco.com</t>
  </si>
  <si>
    <t>mohammed bokhari</t>
  </si>
  <si>
    <t>HD75WF</t>
  </si>
  <si>
    <t>Reda</t>
  </si>
  <si>
    <t>SF65H-1</t>
  </si>
  <si>
    <t>EM65D</t>
  </si>
  <si>
    <t>MM85DH</t>
  </si>
  <si>
    <t>2025-AR-113</t>
  </si>
  <si>
    <t>2025-AR-114</t>
  </si>
  <si>
    <t>1058252M</t>
  </si>
  <si>
    <t>2025-AR-115</t>
  </si>
  <si>
    <t>1257458M</t>
  </si>
  <si>
    <t>2025-AR-116</t>
  </si>
  <si>
    <t>2025-AR-117</t>
  </si>
  <si>
    <t>2025-AR-118</t>
  </si>
  <si>
    <t>2025-AR-119</t>
  </si>
  <si>
    <t>2025-AR-120</t>
  </si>
  <si>
    <t>2025-AR-122</t>
  </si>
  <si>
    <t>2025-AR-123</t>
  </si>
  <si>
    <t>2025-AR-124</t>
  </si>
  <si>
    <t>2025-AR-125</t>
  </si>
  <si>
    <t>2025-AR-126</t>
  </si>
  <si>
    <t>1176919M</t>
  </si>
  <si>
    <t>2025-AR-127</t>
  </si>
  <si>
    <t>2025-AR-128</t>
  </si>
  <si>
    <t>2025-AR-129</t>
  </si>
  <si>
    <t>2025-AR-130</t>
  </si>
  <si>
    <t>1083564M</t>
  </si>
  <si>
    <t>GT65DH-1</t>
  </si>
  <si>
    <t>2025-AR-131</t>
  </si>
  <si>
    <t>2025-AR-132</t>
  </si>
  <si>
    <t>2025-AR-133</t>
  </si>
  <si>
    <t>MMD54H</t>
  </si>
  <si>
    <t>2025-AR-134</t>
  </si>
  <si>
    <t>2025-AR-135</t>
  </si>
  <si>
    <t>2025-AR-067</t>
  </si>
  <si>
    <t>12947677R</t>
  </si>
  <si>
    <t>2025-AR-069</t>
  </si>
  <si>
    <t>2025-AR-071</t>
  </si>
  <si>
    <t>14414024R2</t>
  </si>
  <si>
    <t>14320850R1</t>
  </si>
  <si>
    <t>aBDULrAOUF</t>
  </si>
  <si>
    <t>1251085M</t>
  </si>
  <si>
    <t>HD54</t>
  </si>
  <si>
    <t>14247176R13</t>
  </si>
  <si>
    <t>14254493R1</t>
  </si>
  <si>
    <t>14254491R4</t>
  </si>
  <si>
    <t>13955538R24</t>
  </si>
  <si>
    <t>Justification for due date updation</t>
  </si>
  <si>
    <t>Kyle.Vrnak@Halliburton.com</t>
  </si>
  <si>
    <t>Kyle Vrnak</t>
  </si>
  <si>
    <t>HXi64Ds</t>
  </si>
  <si>
    <t>Retrofit – TTR</t>
  </si>
  <si>
    <t>Offshore</t>
  </si>
  <si>
    <t>HD75Fs-1</t>
  </si>
  <si>
    <t>Abdul jabbar</t>
  </si>
  <si>
    <t>14336288R1</t>
  </si>
  <si>
    <t xml:space="preserve">Reda Aljassem </t>
  </si>
  <si>
    <t>1245357m</t>
  </si>
  <si>
    <t>Ahmed.Elsafi@halliburton.com</t>
  </si>
  <si>
    <t>Ahmed Elsafi</t>
  </si>
  <si>
    <t>EM75D</t>
  </si>
  <si>
    <t>GTD54H</t>
  </si>
  <si>
    <t>GTD64MXs</t>
  </si>
  <si>
    <t>14304770R1</t>
  </si>
  <si>
    <t>Haitham.Albahrani@halliburton.com</t>
  </si>
  <si>
    <t>Haitham</t>
  </si>
  <si>
    <t>14247176R12</t>
  </si>
  <si>
    <t>14228444R3</t>
  </si>
  <si>
    <t>14247163R5</t>
  </si>
  <si>
    <t>ABDUL JABBAR</t>
  </si>
  <si>
    <t>14144629R3</t>
  </si>
  <si>
    <t>Scrap</t>
  </si>
  <si>
    <t>14198196R12</t>
  </si>
  <si>
    <t>AbdulRaouf AlSaqqa</t>
  </si>
  <si>
    <t>14254494R2</t>
  </si>
  <si>
    <t>HXi54s</t>
  </si>
  <si>
    <t>14254492R3</t>
  </si>
  <si>
    <t>14273126R1</t>
  </si>
  <si>
    <t>Kaushik.Shetty@halliburton.com</t>
  </si>
  <si>
    <t>GT65RHS</t>
  </si>
  <si>
    <t>14340872R2</t>
  </si>
  <si>
    <t>Reda Aljassem</t>
  </si>
  <si>
    <t>MMD53DH-2</t>
  </si>
  <si>
    <t>14369051R1</t>
  </si>
  <si>
    <t>14414024R1</t>
  </si>
  <si>
    <t>14012924R8</t>
  </si>
  <si>
    <t>14340870R3</t>
  </si>
  <si>
    <t>AHMED ELSAFI</t>
  </si>
  <si>
    <t xml:space="preserve">HX65DKs </t>
  </si>
  <si>
    <t>TTR</t>
  </si>
  <si>
    <t>MMD53DH</t>
  </si>
  <si>
    <t>14414023R1</t>
  </si>
  <si>
    <t>14353148R2</t>
  </si>
  <si>
    <t>LSTK WFD</t>
  </si>
  <si>
    <t>14247174R7</t>
  </si>
  <si>
    <t>14369050R2</t>
  </si>
  <si>
    <t>14211927R9</t>
  </si>
  <si>
    <t>1198387 / 1160951</t>
  </si>
  <si>
    <t>GT64KHO</t>
  </si>
  <si>
    <t>12/19/21025</t>
  </si>
  <si>
    <t>12/19/21026</t>
  </si>
  <si>
    <t>GT73DH</t>
  </si>
  <si>
    <t>12/19/21027</t>
  </si>
  <si>
    <t>14320851R3</t>
  </si>
  <si>
    <t>HD54KF</t>
  </si>
  <si>
    <t>14247175R12</t>
  </si>
  <si>
    <t>14304771R</t>
  </si>
  <si>
    <t>HXi65DKs</t>
  </si>
  <si>
    <t>14370260R2</t>
  </si>
  <si>
    <t>14304770R2</t>
  </si>
  <si>
    <t>14247163R6</t>
  </si>
  <si>
    <t>14337193R1</t>
  </si>
  <si>
    <t>HXi54S</t>
  </si>
  <si>
    <t>14293147R9</t>
  </si>
  <si>
    <t>MM64</t>
  </si>
  <si>
    <t>14136229R2</t>
  </si>
  <si>
    <t>14136228R</t>
  </si>
  <si>
    <t xml:space="preserve">Kaushik </t>
  </si>
  <si>
    <t>14442327R</t>
  </si>
  <si>
    <t>14414026R1</t>
  </si>
  <si>
    <t>14414031R1</t>
  </si>
  <si>
    <t>Ahmed Alsafi</t>
  </si>
  <si>
    <t>GT55WUH</t>
  </si>
  <si>
    <t>HD56DK</t>
  </si>
  <si>
    <t>SFD75DH-1</t>
  </si>
  <si>
    <t>Ahmed elsafi</t>
  </si>
  <si>
    <t>Exp</t>
  </si>
  <si>
    <t>HD76DF</t>
  </si>
  <si>
    <t>Ahmad elsafi</t>
  </si>
  <si>
    <t>CS54Os</t>
  </si>
  <si>
    <t>1270865 / 2008912</t>
  </si>
  <si>
    <t>HD65Os</t>
  </si>
  <si>
    <t>Kaushik Shetty</t>
  </si>
  <si>
    <t>GT65RHs</t>
  </si>
  <si>
    <t>scrap</t>
  </si>
  <si>
    <t>14340871R3</t>
  </si>
  <si>
    <t>Omar.AbdelBaset@halliburton.com</t>
  </si>
  <si>
    <t>Omar Abdel Baset</t>
  </si>
  <si>
    <t>HXi65Ds</t>
  </si>
  <si>
    <t>14369051R2</t>
  </si>
  <si>
    <t>1254482 / 1254482M</t>
  </si>
  <si>
    <t xml:space="preserve">HD75DOS </t>
  </si>
  <si>
    <t>Abdulraouf</t>
  </si>
  <si>
    <t>14273126R2</t>
  </si>
  <si>
    <t>14369049R1</t>
  </si>
  <si>
    <t>14414030R1</t>
  </si>
  <si>
    <t>2026-UR-1003</t>
  </si>
  <si>
    <t>2026-UR-1007</t>
  </si>
  <si>
    <t>14414023R2</t>
  </si>
  <si>
    <t xml:space="preserve">2026-UR-1008  Scrap </t>
  </si>
  <si>
    <t>14204328R1</t>
  </si>
  <si>
    <t>2026-UR-1001</t>
  </si>
  <si>
    <t>14369052R2</t>
  </si>
  <si>
    <t>2026-UR-1005</t>
  </si>
  <si>
    <t>Mohammed Bokhari</t>
  </si>
  <si>
    <t>2026-L4-007</t>
  </si>
  <si>
    <t>2026-UR-1009</t>
  </si>
  <si>
    <t>2026-ARDT-LV4-011</t>
  </si>
  <si>
    <t>HXi65Ds Retrofit to HXi65DKs</t>
  </si>
  <si>
    <t>Retrofit – Repair</t>
  </si>
  <si>
    <t>2026-ARDT-002</t>
  </si>
  <si>
    <t>2026-UR-1011- Scrap</t>
  </si>
  <si>
    <t>GTD75WH</t>
  </si>
  <si>
    <t>2026-UR-1010</t>
  </si>
  <si>
    <t>14442327R2</t>
  </si>
  <si>
    <t>2026-UR-1012</t>
  </si>
  <si>
    <t>2026-ARDT-LV4-009-Rework</t>
  </si>
  <si>
    <t>2026-ARDT-LV4-010-Rework</t>
  </si>
  <si>
    <t>14254494R3</t>
  </si>
  <si>
    <t>14321011R1</t>
  </si>
  <si>
    <t>2026-UR-1016</t>
  </si>
  <si>
    <t>WFD - LSTK</t>
  </si>
  <si>
    <t>14211927R10</t>
  </si>
  <si>
    <t>Gt65RHs-1</t>
  </si>
  <si>
    <t>14414029R1</t>
  </si>
  <si>
    <t>2026-UR-1013 Brazed</t>
  </si>
  <si>
    <t>L5</t>
  </si>
  <si>
    <t>14304769R1</t>
  </si>
  <si>
    <t>2026-UR-1014 Rework</t>
  </si>
  <si>
    <t>2026-ARDT-LV4-016</t>
  </si>
  <si>
    <t>14431433R1</t>
  </si>
  <si>
    <t>2026-ARDT-LV4-022</t>
  </si>
  <si>
    <t>2026-ARDT-LV4-023</t>
  </si>
  <si>
    <t>GT53s</t>
  </si>
  <si>
    <t>13791953R7</t>
  </si>
  <si>
    <t>2026-ARDT-LV3-009</t>
  </si>
  <si>
    <t>14369049R2</t>
  </si>
  <si>
    <t>2026-UR-1015-rework</t>
  </si>
  <si>
    <t>2026-ARDT-LV3-008</t>
  </si>
  <si>
    <t>14462151R1</t>
  </si>
  <si>
    <t>2026-UR-1017-returned for rework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</si>
</sst>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5B9BD5"/>
        <bgColor rgb="FF5B9BD5"/>
      </patternFill>
    </fill>
    <fill>
      <patternFill patternType="solid">
        <fgColor rgb="FFDDEBF7"/>
        <bgColor rgb="FFDDEBF7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3" borderId="0" xfId="0" applyFont="1" applyFill="1"/>
    <xf numFmtId="22" fontId="2" fillId="3" borderId="0" xfId="0" applyNumberFormat="1" applyFont="1" applyFill="1"/>
    <xf numFmtId="0" fontId="2" fillId="3" borderId="0" xfId="0" applyFont="1" applyFill="1" applyAlignment="1">
      <alignment horizontal="center"/>
    </xf>
    <xf numFmtId="0" fontId="1" fillId="2" borderId="2" xfId="0" applyFont="1" applyFill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2" fillId="3" borderId="2" xfId="0" applyFont="1" applyFill="1" applyBorder="1"/>
    <xf numFmtId="22" fontId="2" fillId="3" borderId="1" xfId="0" applyNumberFormat="1" applyFont="1" applyFill="1" applyBorder="1"/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14" fontId="2" fillId="3" borderId="0" xfId="0" applyNumberFormat="1" applyFont="1" applyFill="1" applyAlignment="1">
      <alignment horizontal="center"/>
    </xf>
    <xf numFmtId="14" fontId="2" fillId="3" borderId="1" xfId="0" applyNumberFormat="1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2" fontId="2" fillId="3" borderId="0" xfId="0" applyNumberFormat="1" applyFont="1" applyFill="1" applyAlignment="1">
      <alignment horizontal="center"/>
    </xf>
    <xf numFmtId="12" fontId="2" fillId="3" borderId="1" xfId="0" applyNumberFormat="1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22" fontId="2" fillId="3" borderId="0" xfId="0" applyNumberFormat="1" applyFont="1" applyFill="1" applyAlignment="1">
      <alignment horizontal="center"/>
    </xf>
    <xf numFmtId="0" fontId="2" fillId="3" borderId="2" xfId="0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14" fontId="3" fillId="4" borderId="1" xfId="0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14" fontId="2" fillId="3" borderId="3" xfId="0" applyNumberFormat="1" applyFont="1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22" fontId="2" fillId="3" borderId="5" xfId="0" applyNumberFormat="1" applyFont="1" applyFill="1" applyBorder="1" applyAlignment="1">
      <alignment horizontal="center"/>
    </xf>
    <xf numFmtId="0" fontId="2" fillId="3" borderId="5" xfId="0" applyFont="1" applyFill="1" applyBorder="1"/>
    <xf numFmtId="0" fontId="2" fillId="3" borderId="5" xfId="0" applyFont="1" applyFill="1" applyBorder="1" applyAlignment="1">
      <alignment horizontal="center"/>
    </xf>
    <xf numFmtId="12" fontId="2" fillId="3" borderId="5" xfId="0" applyNumberFormat="1" applyFont="1" applyFill="1" applyBorder="1" applyAlignment="1">
      <alignment horizontal="center"/>
    </xf>
    <xf numFmtId="14" fontId="2" fillId="3" borderId="5" xfId="0" applyNumberFormat="1" applyFont="1" applyFill="1" applyBorder="1" applyAlignment="1">
      <alignment horizontal="center"/>
    </xf>
  </cellXfs>
  <cellStyles count="1">
    <cellStyle name="Normal" xfId="0" builtinId="0"/>
  </cellStyles>
  <dxfs count="9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DDEBF7"/>
          <bgColor rgb="FFDDEBF7"/>
        </patternFill>
      </fill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DDEBF7"/>
          <bgColor rgb="FFDDEBF7"/>
        </patternFill>
      </fill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DDEBF7"/>
          <bgColor rgb="FFDDEBF7"/>
        </patternFill>
      </fill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9" formatCode="m/d/yyyy"/>
      <fill>
        <patternFill patternType="solid">
          <fgColor rgb="FFDDEBF7"/>
          <bgColor rgb="FFDDEBF7"/>
        </patternFill>
      </fill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DDEBF7"/>
          <bgColor rgb="FFDDEBF7"/>
        </patternFill>
      </fill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DDEBF7"/>
          <bgColor rgb="FFDDEBF7"/>
        </patternFill>
      </fill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DDEBF7"/>
          <bgColor rgb="FFDDEBF7"/>
        </patternFill>
      </fill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DDEBF7"/>
          <bgColor rgb="FFDDEBF7"/>
        </patternFill>
      </fill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DDEBF7"/>
          <bgColor rgb="FFDDEBF7"/>
        </patternFill>
      </fill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DDEBF7"/>
          <bgColor rgb="FFDDEBF7"/>
        </patternFill>
      </fill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DDEBF7"/>
          <bgColor rgb="FFDDEBF7"/>
        </patternFill>
      </fill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DDEBF7"/>
          <bgColor rgb="FFDDEBF7"/>
        </patternFill>
      </fill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DDEBF7"/>
          <bgColor rgb="FFDDEBF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27" formatCode="m/d/yyyy\ h:mm"/>
      <fill>
        <patternFill patternType="solid">
          <fgColor rgb="FFDDEBF7"/>
          <bgColor rgb="FFDDEBF7"/>
        </patternFill>
      </fill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4EAA4E-31F9-4370-A249-D79928945F70}" name="TblPlanner" displayName="TblPlanner" ref="A1:O67" totalsRowShown="0">
  <autoFilter ref="A1:O67" xr:uid="{6E4EAA4E-31F9-4370-A249-D79928945F70}"/>
  <sortState xmlns:xlrd2="http://schemas.microsoft.com/office/spreadsheetml/2017/richdata2" ref="A2:O67">
    <sortCondition ref="N1:N67"/>
  </sortState>
  <tableColumns count="15">
    <tableColumn id="1" xr3:uid="{52EEEECD-581A-4F9C-9A36-F2876F321723}" name="ResponseId" dataDxfId="93"/>
    <tableColumn id="3" xr3:uid="{4D5153A5-4CCD-4429-9404-4C80D36B127A}" name="CompletionTime" dataDxfId="92"/>
    <tableColumn id="4" xr3:uid="{D42826F4-9201-40EB-B46A-D079B250CE69}" name="Email" dataDxfId="91"/>
    <tableColumn id="5" xr3:uid="{E493F6E6-BFAA-4770-8BC3-BB9AD88E1EAB}" name="Name" dataDxfId="90"/>
    <tableColumn id="6" xr3:uid="{0FB99376-A258-4739-8568-EB745E8019EE}" name="Requester name" dataDxfId="89"/>
    <tableColumn id="7" xr3:uid="{A176A3DB-2A87-493A-A976-F7CE01A67651}" name="Business Unit" dataDxfId="88"/>
    <tableColumn id="8" xr3:uid="{50AFDCEF-C62F-481B-8430-BA35B56806A1}" name="MAT Number" dataDxfId="87"/>
    <tableColumn id="9" xr3:uid="{DEC22258-7221-40E5-BF94-B5F0E8D4359E}" name="Bit Size" dataDxfId="86"/>
    <tableColumn id="10" xr3:uid="{F160BC43-DA44-4976-A9D7-B28A188DF157}" name="Bit Type" dataDxfId="85"/>
    <tableColumn id="11" xr3:uid="{525343B3-A762-4B28-BED0-A406E35E80C1}" name="New / Repair" dataDxfId="84"/>
    <tableColumn id="12" xr3:uid="{03155A5E-923C-44E7-9D96-C97ACDAAE518}" name="Serial (* Required for repair)" dataDxfId="83"/>
    <tableColumn id="13" xr3:uid="{B8E475AE-10F7-446C-8275-AC619DB6B5F2}" name="DueDate" dataDxfId="82">
      <calculatedColumnFormula>WORKDAY.INTL(
    INT(TblPlanner[[#This Row],[CompletionTime]]),
    IF(AND(TblPlanner[[#This Row],[Business Unit]]="UR Rental - Sperry", TblPlanner[[#This Row],[New / Repair]]="Repair"), 4, 6),
    7
)</calculatedColumnFormula>
    </tableColumn>
    <tableColumn id="14" xr3:uid="{FFAE16AB-6760-4FEE-B642-A67F0C3FE07E}" name="Release Date" dataDxfId="81"/>
    <tableColumn id="2" xr3:uid="{6C820838-3642-4D11-AE4D-0DC07D8A7582}" name="Updated Due Date" dataDxfId="80"/>
    <tableColumn id="15" xr3:uid="{72822681-BA3D-46BB-9E38-670DFB1FBEC5}" name="Justification for due date update" dataDxfId="7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67"/>
  <sheetViews>
    <sheetView tabSelected="1" topLeftCell="C1" workbookViewId="0">
      <selection activeCell="N5" sqref="N5"/>
    </sheetView>
  </sheetViews>
  <sheetFormatPr defaultRowHeight="15"/>
  <cols>
    <col min="1" max="1" width="13.5703125" style="18" bestFit="1" customWidth="1"/>
    <col min="2" max="2" width="18.42578125" style="18" bestFit="1" customWidth="1"/>
    <col min="3" max="3" width="18.42578125" style="15" bestFit="1" customWidth="1"/>
    <col min="4" max="4" width="17.7109375" style="18" bestFit="1" customWidth="1"/>
    <col min="5" max="5" width="18.5703125" style="18" bestFit="1" customWidth="1"/>
    <col min="6" max="6" width="17.5703125" style="18" customWidth="1"/>
    <col min="7" max="7" width="20.7109375" style="18" customWidth="1"/>
    <col min="8" max="8" width="9.7109375" style="18" bestFit="1" customWidth="1"/>
    <col min="9" max="9" width="10.7109375" style="18" bestFit="1" customWidth="1"/>
    <col min="10" max="10" width="21.140625" style="18" customWidth="1"/>
    <col min="11" max="11" width="29" style="18" bestFit="1" customWidth="1"/>
    <col min="12" max="12" width="12.85546875" style="17" customWidth="1"/>
    <col min="13" max="13" width="11.85546875" style="18" customWidth="1"/>
    <col min="14" max="14" width="19" style="18" customWidth="1"/>
    <col min="15" max="15" width="32" style="18" customWidth="1"/>
  </cols>
  <sheetData>
    <row r="1" spans="1:15">
      <c r="A1" s="16" t="s">
        <v>0</v>
      </c>
      <c r="B1" s="16" t="s">
        <v>1</v>
      </c>
      <c r="C1" s="14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7" t="s">
        <v>11</v>
      </c>
      <c r="M1" s="18" t="s">
        <v>12</v>
      </c>
      <c r="N1" s="18" t="s">
        <v>13</v>
      </c>
      <c r="O1" s="18" t="s">
        <v>14</v>
      </c>
    </row>
    <row r="2" spans="1:15">
      <c r="A2" s="3">
        <v>128</v>
      </c>
      <c r="B2" s="22">
        <v>46037.610462962963</v>
      </c>
      <c r="C2" s="1" t="s">
        <v>15</v>
      </c>
      <c r="D2" s="3" t="s">
        <v>16</v>
      </c>
      <c r="E2" s="3" t="s">
        <v>16</v>
      </c>
      <c r="F2" s="3" t="s">
        <v>17</v>
      </c>
      <c r="G2" s="3">
        <v>1145824</v>
      </c>
      <c r="H2" s="19">
        <v>6.125</v>
      </c>
      <c r="I2" s="3" t="s">
        <v>18</v>
      </c>
      <c r="J2" s="3" t="s">
        <v>19</v>
      </c>
      <c r="K2" s="3" t="s">
        <v>20</v>
      </c>
      <c r="L2" s="11">
        <f>WORKDAY.INTL(
    INT(TblPlanner[[#This Row],[CompletionTime]]),
    IF(AND(TblPlanner[[#This Row],[Business Unit]]="UR Rental - Sperry", TblPlanner[[#This Row],[New / Repair]]="Repair"), 4, 6),
    7
)</f>
        <v>46047</v>
      </c>
      <c r="M2" s="11">
        <v>46035</v>
      </c>
      <c r="N2" s="11">
        <v>46061</v>
      </c>
      <c r="O2" s="3" t="s">
        <v>21</v>
      </c>
    </row>
    <row r="3" spans="1:15">
      <c r="A3" s="3">
        <v>137</v>
      </c>
      <c r="B3" s="22">
        <v>46040.374814814815</v>
      </c>
      <c r="C3" s="1" t="s">
        <v>15</v>
      </c>
      <c r="D3" s="3" t="s">
        <v>16</v>
      </c>
      <c r="E3" s="3" t="s">
        <v>16</v>
      </c>
      <c r="F3" s="3" t="s">
        <v>17</v>
      </c>
      <c r="G3" s="3">
        <v>1252149</v>
      </c>
      <c r="H3" s="19">
        <v>3.875</v>
      </c>
      <c r="I3" s="3" t="s">
        <v>22</v>
      </c>
      <c r="J3" s="3" t="s">
        <v>19</v>
      </c>
      <c r="K3" s="3" t="s">
        <v>23</v>
      </c>
      <c r="L3" s="11">
        <f>WORKDAY.INTL(
    INT(TblPlanner[[#This Row],[CompletionTime]]),
    IF(AND(TblPlanner[[#This Row],[Business Unit]]="UR Rental - Sperry", TblPlanner[[#This Row],[New / Repair]]="Repair"), 4, 6),
    7
)</f>
        <v>46048</v>
      </c>
      <c r="M3" s="11">
        <v>46040</v>
      </c>
      <c r="N3" s="11">
        <v>46061</v>
      </c>
      <c r="O3" s="3">
        <v>20261011</v>
      </c>
    </row>
    <row r="4" spans="1:15">
      <c r="A4" s="3">
        <v>138</v>
      </c>
      <c r="B4" s="22">
        <v>46040.375879629632</v>
      </c>
      <c r="C4" s="1" t="s">
        <v>15</v>
      </c>
      <c r="D4" s="3" t="s">
        <v>16</v>
      </c>
      <c r="E4" s="3" t="s">
        <v>16</v>
      </c>
      <c r="F4" s="3" t="s">
        <v>17</v>
      </c>
      <c r="G4" s="3">
        <v>1252149</v>
      </c>
      <c r="H4" s="19">
        <v>3.875</v>
      </c>
      <c r="I4" s="3" t="s">
        <v>22</v>
      </c>
      <c r="J4" s="3" t="s">
        <v>19</v>
      </c>
      <c r="K4" s="3" t="s">
        <v>24</v>
      </c>
      <c r="L4" s="11">
        <f>WORKDAY.INTL(
    INT(TblPlanner[[#This Row],[CompletionTime]]),
    IF(AND(TblPlanner[[#This Row],[Business Unit]]="UR Rental - Sperry", TblPlanner[[#This Row],[New / Repair]]="Repair"), 4, 6),
    7
)</f>
        <v>46048</v>
      </c>
      <c r="M4" s="11">
        <v>46040</v>
      </c>
      <c r="N4" s="11">
        <v>46061</v>
      </c>
      <c r="O4" s="3"/>
    </row>
    <row r="5" spans="1:15">
      <c r="A5" s="3">
        <v>174</v>
      </c>
      <c r="B5" s="22">
        <v>46050.500219907408</v>
      </c>
      <c r="C5" s="1" t="s">
        <v>25</v>
      </c>
      <c r="D5" s="3" t="s">
        <v>26</v>
      </c>
      <c r="E5" s="3" t="s">
        <v>26</v>
      </c>
      <c r="F5" s="3" t="s">
        <v>27</v>
      </c>
      <c r="G5" s="3">
        <v>1058252</v>
      </c>
      <c r="H5" s="19">
        <v>16</v>
      </c>
      <c r="I5" s="3" t="s">
        <v>28</v>
      </c>
      <c r="J5" s="3" t="s">
        <v>19</v>
      </c>
      <c r="K5" s="3">
        <v>13886505</v>
      </c>
      <c r="L5" s="11">
        <f>WORKDAY.INTL(
    INT(TblPlanner[[#This Row],[CompletionTime]]),
    IF(AND(TblPlanner[[#This Row],[Business Unit]]="UR Rental - Sperry", TblPlanner[[#This Row],[New / Repair]]="Repair"), 4, 6),
    7
)</f>
        <v>46058</v>
      </c>
      <c r="M5" s="11"/>
      <c r="N5" s="11">
        <v>46061</v>
      </c>
      <c r="O5" s="3" t="s">
        <v>29</v>
      </c>
    </row>
    <row r="6" spans="1:15">
      <c r="A6" s="3">
        <v>139</v>
      </c>
      <c r="B6" s="22">
        <v>46040.376539351855</v>
      </c>
      <c r="C6" s="1" t="s">
        <v>15</v>
      </c>
      <c r="D6" s="3" t="s">
        <v>16</v>
      </c>
      <c r="E6" s="3" t="s">
        <v>16</v>
      </c>
      <c r="F6" s="3" t="s">
        <v>17</v>
      </c>
      <c r="G6" s="3">
        <v>1252149</v>
      </c>
      <c r="H6" s="19">
        <v>3.875</v>
      </c>
      <c r="I6" s="3" t="s">
        <v>22</v>
      </c>
      <c r="J6" s="3" t="s">
        <v>19</v>
      </c>
      <c r="K6" s="3" t="s">
        <v>30</v>
      </c>
      <c r="L6" s="11">
        <f>WORKDAY.INTL(
    INT(TblPlanner[[#This Row],[CompletionTime]]),
    IF(AND(TblPlanner[[#This Row],[Business Unit]]="UR Rental - Sperry", TblPlanner[[#This Row],[New / Repair]]="Repair"), 4, 6),
    7
)</f>
        <v>46048</v>
      </c>
      <c r="M6" s="11">
        <v>46040</v>
      </c>
      <c r="N6" s="11">
        <v>46061</v>
      </c>
      <c r="O6" s="3"/>
    </row>
    <row r="7" spans="1:15">
      <c r="A7" s="3">
        <v>169</v>
      </c>
      <c r="B7" s="22">
        <v>46050.327164351853</v>
      </c>
      <c r="C7" s="1" t="s">
        <v>31</v>
      </c>
      <c r="D7" s="3" t="s">
        <v>32</v>
      </c>
      <c r="E7" s="3" t="s">
        <v>32</v>
      </c>
      <c r="F7" s="3" t="s">
        <v>33</v>
      </c>
      <c r="G7" s="3">
        <v>2021071</v>
      </c>
      <c r="H7" s="19">
        <v>12</v>
      </c>
      <c r="I7" s="3" t="s">
        <v>34</v>
      </c>
      <c r="J7" s="3" t="s">
        <v>35</v>
      </c>
      <c r="K7" s="3">
        <v>14418425</v>
      </c>
      <c r="L7" s="11">
        <f>WORKDAY.INTL(
    INT(TblPlanner[[#This Row],[CompletionTime]]),
    IF(AND(TblPlanner[[#This Row],[Business Unit]]="UR Rental - Sperry", TblPlanner[[#This Row],[New / Repair]]="Repair"), 4, 6),
    7
)</f>
        <v>46058</v>
      </c>
      <c r="M7" s="11" t="s">
        <v>36</v>
      </c>
      <c r="N7" s="11">
        <v>46061</v>
      </c>
      <c r="O7" s="3" t="s">
        <v>37</v>
      </c>
    </row>
    <row r="8" spans="1:15">
      <c r="A8" s="3">
        <v>181</v>
      </c>
      <c r="B8" s="22">
        <v>46050.507291666669</v>
      </c>
      <c r="C8" s="1" t="s">
        <v>25</v>
      </c>
      <c r="D8" s="3" t="s">
        <v>26</v>
      </c>
      <c r="E8" s="3" t="s">
        <v>26</v>
      </c>
      <c r="F8" s="3" t="s">
        <v>27</v>
      </c>
      <c r="G8" s="3">
        <v>1276939</v>
      </c>
      <c r="H8" s="19">
        <v>8.5</v>
      </c>
      <c r="I8" s="3" t="s">
        <v>38</v>
      </c>
      <c r="J8" s="3" t="s">
        <v>19</v>
      </c>
      <c r="K8" s="3">
        <v>14199938</v>
      </c>
      <c r="L8" s="11">
        <f>WORKDAY.INTL(
    INT(TblPlanner[[#This Row],[CompletionTime]]),
    IF(AND(TblPlanner[[#This Row],[Business Unit]]="UR Rental - Sperry", TblPlanner[[#This Row],[New / Repair]]="Repair"), 4, 6),
    7
)</f>
        <v>46058</v>
      </c>
      <c r="M8" s="11"/>
      <c r="N8" s="11">
        <v>46061</v>
      </c>
      <c r="O8" s="3" t="s">
        <v>39</v>
      </c>
    </row>
    <row r="9" spans="1:15">
      <c r="A9" s="3">
        <v>164</v>
      </c>
      <c r="B9" s="22">
        <v>46047.3747337963</v>
      </c>
      <c r="C9" s="1" t="s">
        <v>40</v>
      </c>
      <c r="D9" s="3" t="s">
        <v>41</v>
      </c>
      <c r="E9" s="3" t="s">
        <v>41</v>
      </c>
      <c r="F9" s="3" t="s">
        <v>42</v>
      </c>
      <c r="G9" s="3" t="s">
        <v>43</v>
      </c>
      <c r="H9" s="19">
        <v>3.875</v>
      </c>
      <c r="I9" s="3" t="s">
        <v>22</v>
      </c>
      <c r="J9" s="3" t="s">
        <v>35</v>
      </c>
      <c r="K9" s="3">
        <v>14386452</v>
      </c>
      <c r="L9" s="11">
        <f>WORKDAY.INTL(
    INT(TblPlanner[[#This Row],[CompletionTime]]),
    IF(AND(TblPlanner[[#This Row],[Business Unit]]="UR Rental - Sperry", TblPlanner[[#This Row],[New / Repair]]="Repair"), 4, 6),
    7
)</f>
        <v>46055</v>
      </c>
      <c r="M9" s="11">
        <v>46051</v>
      </c>
      <c r="N9" s="11">
        <v>46062</v>
      </c>
      <c r="O9" s="3"/>
    </row>
    <row r="10" spans="1:15">
      <c r="A10" s="3">
        <v>171</v>
      </c>
      <c r="B10" s="22">
        <v>46050.350902777776</v>
      </c>
      <c r="C10" s="1" t="s">
        <v>31</v>
      </c>
      <c r="D10" s="3" t="s">
        <v>44</v>
      </c>
      <c r="E10" s="3" t="s">
        <v>44</v>
      </c>
      <c r="F10" s="3" t="s">
        <v>45</v>
      </c>
      <c r="G10" s="3">
        <v>1276939</v>
      </c>
      <c r="H10" s="19">
        <v>8.5</v>
      </c>
      <c r="I10" s="3" t="s">
        <v>38</v>
      </c>
      <c r="J10" s="3" t="s">
        <v>19</v>
      </c>
      <c r="K10" s="3" t="s">
        <v>46</v>
      </c>
      <c r="L10" s="11">
        <f>WORKDAY.INTL(
    INT(TblPlanner[[#This Row],[CompletionTime]]),
    IF(AND(TblPlanner[[#This Row],[Business Unit]]="UR Rental - Sperry", TblPlanner[[#This Row],[New / Repair]]="Repair"), 4, 6),
    7
)</f>
        <v>46056</v>
      </c>
      <c r="M10" s="11"/>
      <c r="N10" s="11">
        <v>46062</v>
      </c>
      <c r="O10" s="3" t="s">
        <v>47</v>
      </c>
    </row>
    <row r="11" spans="1:15">
      <c r="A11" s="3">
        <v>175</v>
      </c>
      <c r="B11" s="22">
        <v>46050.501631944448</v>
      </c>
      <c r="C11" s="1" t="s">
        <v>25</v>
      </c>
      <c r="D11" s="3" t="s">
        <v>26</v>
      </c>
      <c r="E11" s="3" t="s">
        <v>26</v>
      </c>
      <c r="F11" s="3" t="s">
        <v>27</v>
      </c>
      <c r="G11" s="3">
        <v>1058252</v>
      </c>
      <c r="H11" s="19">
        <v>16</v>
      </c>
      <c r="I11" s="3" t="s">
        <v>28</v>
      </c>
      <c r="J11" s="3" t="s">
        <v>19</v>
      </c>
      <c r="K11" s="3">
        <v>13923839</v>
      </c>
      <c r="L11" s="11">
        <f>WORKDAY.INTL(
    INT(TblPlanner[[#This Row],[CompletionTime]]),
    IF(AND(TblPlanner[[#This Row],[Business Unit]]="UR Rental - Sperry", TblPlanner[[#This Row],[New / Repair]]="Repair"), 4, 6),
    7
)</f>
        <v>46058</v>
      </c>
      <c r="M11" s="11"/>
      <c r="N11" s="11">
        <v>46062</v>
      </c>
      <c r="O11" s="3" t="s">
        <v>48</v>
      </c>
    </row>
    <row r="12" spans="1:15">
      <c r="A12" s="3">
        <v>178</v>
      </c>
      <c r="B12" s="22">
        <v>46050.505682870367</v>
      </c>
      <c r="C12" s="1" t="s">
        <v>25</v>
      </c>
      <c r="D12" s="3" t="s">
        <v>26</v>
      </c>
      <c r="E12" s="3" t="s">
        <v>26</v>
      </c>
      <c r="F12" s="3" t="s">
        <v>27</v>
      </c>
      <c r="G12" s="3">
        <v>1020531</v>
      </c>
      <c r="H12" s="19">
        <v>12</v>
      </c>
      <c r="I12" s="3" t="s">
        <v>49</v>
      </c>
      <c r="J12" s="3" t="s">
        <v>19</v>
      </c>
      <c r="K12" s="3">
        <v>13860646</v>
      </c>
      <c r="L12" s="11">
        <f>WORKDAY.INTL(
    INT(TblPlanner[[#This Row],[CompletionTime]]),
    IF(AND(TblPlanner[[#This Row],[Business Unit]]="UR Rental - Sperry", TblPlanner[[#This Row],[New / Repair]]="Repair"), 4, 6),
    7
)</f>
        <v>46058</v>
      </c>
      <c r="M12" s="11"/>
      <c r="N12" s="11">
        <v>46062</v>
      </c>
      <c r="O12" s="3" t="s">
        <v>50</v>
      </c>
    </row>
    <row r="13" spans="1:15">
      <c r="A13" s="3">
        <v>182</v>
      </c>
      <c r="B13" s="22">
        <v>46050.507835648146</v>
      </c>
      <c r="C13" s="1" t="s">
        <v>25</v>
      </c>
      <c r="D13" s="3" t="s">
        <v>26</v>
      </c>
      <c r="E13" s="3" t="s">
        <v>26</v>
      </c>
      <c r="F13" s="3" t="s">
        <v>27</v>
      </c>
      <c r="G13" s="3">
        <v>1276939</v>
      </c>
      <c r="H13" s="19">
        <v>8.5</v>
      </c>
      <c r="I13" s="3" t="s">
        <v>38</v>
      </c>
      <c r="J13" s="3" t="s">
        <v>19</v>
      </c>
      <c r="K13" s="3">
        <v>14228469</v>
      </c>
      <c r="L13" s="11">
        <f>WORKDAY.INTL(
    INT(TblPlanner[[#This Row],[CompletionTime]]),
    IF(AND(TblPlanner[[#This Row],[Business Unit]]="UR Rental - Sperry", TblPlanner[[#This Row],[New / Repair]]="Repair"), 4, 6),
    7
)</f>
        <v>46058</v>
      </c>
      <c r="M13" s="11"/>
      <c r="N13" s="11">
        <v>46062</v>
      </c>
      <c r="O13" s="3" t="s">
        <v>51</v>
      </c>
    </row>
    <row r="14" spans="1:15">
      <c r="A14" s="3">
        <v>183</v>
      </c>
      <c r="B14" s="22">
        <v>46050.508287037039</v>
      </c>
      <c r="C14" s="1" t="s">
        <v>25</v>
      </c>
      <c r="D14" s="3" t="s">
        <v>26</v>
      </c>
      <c r="E14" s="3" t="s">
        <v>26</v>
      </c>
      <c r="F14" s="3" t="s">
        <v>27</v>
      </c>
      <c r="G14" s="3">
        <v>882281</v>
      </c>
      <c r="H14" s="19">
        <v>8.375</v>
      </c>
      <c r="I14" s="3" t="s">
        <v>52</v>
      </c>
      <c r="J14" s="3" t="s">
        <v>19</v>
      </c>
      <c r="K14" s="3">
        <v>13566945</v>
      </c>
      <c r="L14" s="11">
        <f>WORKDAY.INTL(
    INT(TblPlanner[[#This Row],[CompletionTime]]),
    IF(AND(TblPlanner[[#This Row],[Business Unit]]="UR Rental - Sperry", TblPlanner[[#This Row],[New / Repair]]="Repair"), 4, 6),
    7
)</f>
        <v>46058</v>
      </c>
      <c r="M14" s="11"/>
      <c r="N14" s="11">
        <v>46062</v>
      </c>
      <c r="O14" s="3" t="s">
        <v>53</v>
      </c>
    </row>
    <row r="15" spans="1:15">
      <c r="A15" s="3">
        <v>218</v>
      </c>
      <c r="B15" s="22">
        <v>46054.304780092592</v>
      </c>
      <c r="C15" s="1" t="s">
        <v>31</v>
      </c>
      <c r="D15" s="3" t="s">
        <v>44</v>
      </c>
      <c r="E15" s="3" t="s">
        <v>44</v>
      </c>
      <c r="F15" s="3" t="s">
        <v>45</v>
      </c>
      <c r="G15" s="3">
        <v>1276939</v>
      </c>
      <c r="H15" s="19">
        <v>8.5</v>
      </c>
      <c r="I15" s="3" t="s">
        <v>38</v>
      </c>
      <c r="J15" s="3" t="s">
        <v>54</v>
      </c>
      <c r="K15" s="3" t="s">
        <v>55</v>
      </c>
      <c r="L15" s="11">
        <f>WORKDAY.INTL(
    INT(TblPlanner[[#This Row],[CompletionTime]]),
    IF(AND(TblPlanner[[#This Row],[Business Unit]]="UR Rental - Sperry", TblPlanner[[#This Row],[New / Repair]]="Repair"), 4, 6),
    7
)</f>
        <v>46062</v>
      </c>
      <c r="M15" s="11"/>
      <c r="N15" s="11">
        <v>46062</v>
      </c>
      <c r="O15" s="3" t="s">
        <v>56</v>
      </c>
    </row>
    <row r="16" spans="1:15">
      <c r="A16" s="3">
        <v>219</v>
      </c>
      <c r="B16" s="22">
        <v>46054.305381944447</v>
      </c>
      <c r="C16" s="1" t="s">
        <v>31</v>
      </c>
      <c r="D16" s="3" t="s">
        <v>44</v>
      </c>
      <c r="E16" s="3" t="s">
        <v>44</v>
      </c>
      <c r="F16" s="3" t="s">
        <v>45</v>
      </c>
      <c r="G16" s="3">
        <v>2022328</v>
      </c>
      <c r="H16" s="19">
        <v>8.5</v>
      </c>
      <c r="I16" s="3" t="s">
        <v>38</v>
      </c>
      <c r="J16" s="3" t="s">
        <v>19</v>
      </c>
      <c r="K16" s="3">
        <v>14488518</v>
      </c>
      <c r="L16" s="11">
        <f>WORKDAY.INTL(
    INT(TblPlanner[[#This Row],[CompletionTime]]),
    IF(AND(TblPlanner[[#This Row],[Business Unit]]="UR Rental - Sperry", TblPlanner[[#This Row],[New / Repair]]="Repair"), 4, 6),
    7
)</f>
        <v>46058</v>
      </c>
      <c r="M16" s="11"/>
      <c r="N16" s="11">
        <v>46062</v>
      </c>
      <c r="O16" s="3" t="s">
        <v>57</v>
      </c>
    </row>
    <row r="17" spans="1:15">
      <c r="A17" s="3">
        <v>220</v>
      </c>
      <c r="B17" s="22">
        <v>46054.306493055556</v>
      </c>
      <c r="C17" s="1" t="s">
        <v>31</v>
      </c>
      <c r="D17" s="3" t="s">
        <v>44</v>
      </c>
      <c r="E17" s="3" t="s">
        <v>44</v>
      </c>
      <c r="F17" s="3" t="s">
        <v>45</v>
      </c>
      <c r="G17" s="3">
        <v>1276939</v>
      </c>
      <c r="H17" s="19">
        <v>8.5</v>
      </c>
      <c r="I17" s="3" t="s">
        <v>58</v>
      </c>
      <c r="J17" s="3" t="s">
        <v>19</v>
      </c>
      <c r="K17" s="3">
        <v>14488517</v>
      </c>
      <c r="L17" s="11">
        <f>WORKDAY.INTL(
    INT(TblPlanner[[#This Row],[CompletionTime]]),
    IF(AND(TblPlanner[[#This Row],[Business Unit]]="UR Rental - Sperry", TblPlanner[[#This Row],[New / Repair]]="Repair"), 4, 6),
    7
)</f>
        <v>46058</v>
      </c>
      <c r="M17" s="11"/>
      <c r="N17" s="11">
        <v>46062</v>
      </c>
      <c r="O17" s="3" t="s">
        <v>59</v>
      </c>
    </row>
    <row r="18" spans="1:15">
      <c r="A18" s="3">
        <v>132</v>
      </c>
      <c r="B18" s="22">
        <v>46037.613946759258</v>
      </c>
      <c r="C18" s="1" t="s">
        <v>15</v>
      </c>
      <c r="D18" s="3" t="s">
        <v>16</v>
      </c>
      <c r="E18" s="3" t="s">
        <v>16</v>
      </c>
      <c r="F18" s="3" t="s">
        <v>17</v>
      </c>
      <c r="G18" s="3">
        <v>1224750</v>
      </c>
      <c r="H18" s="19"/>
      <c r="I18" s="3" t="s">
        <v>60</v>
      </c>
      <c r="J18" s="3" t="s">
        <v>19</v>
      </c>
      <c r="K18" s="3" t="s">
        <v>61</v>
      </c>
      <c r="L18" s="11">
        <f>WORKDAY.INTL(
    INT(TblPlanner[[#This Row],[CompletionTime]]),
    IF(AND(TblPlanner[[#This Row],[Business Unit]]="UR Rental - Sperry", TblPlanner[[#This Row],[New / Repair]]="Repair"), 4, 6),
    7
)</f>
        <v>46047</v>
      </c>
      <c r="M18" s="11">
        <v>46019</v>
      </c>
      <c r="N18" s="11">
        <v>46063</v>
      </c>
      <c r="O18" s="3"/>
    </row>
    <row r="19" spans="1:15">
      <c r="A19" s="3">
        <v>185</v>
      </c>
      <c r="B19" s="22">
        <v>46050.509143518517</v>
      </c>
      <c r="C19" s="1" t="s">
        <v>25</v>
      </c>
      <c r="D19" s="3" t="s">
        <v>26</v>
      </c>
      <c r="E19" s="3" t="s">
        <v>26</v>
      </c>
      <c r="F19" s="3" t="s">
        <v>27</v>
      </c>
      <c r="G19" s="3">
        <v>1061407</v>
      </c>
      <c r="H19" s="19">
        <v>8.375</v>
      </c>
      <c r="I19" s="3" t="s">
        <v>52</v>
      </c>
      <c r="J19" s="3" t="s">
        <v>19</v>
      </c>
      <c r="K19" s="3">
        <v>13753277</v>
      </c>
      <c r="L19" s="11">
        <f>WORKDAY.INTL(
    INT(TblPlanner[[#This Row],[CompletionTime]]),
    IF(AND(TblPlanner[[#This Row],[Business Unit]]="UR Rental - Sperry", TblPlanner[[#This Row],[New / Repair]]="Repair"), 4, 6),
    7
)</f>
        <v>46058</v>
      </c>
      <c r="M19" s="11"/>
      <c r="N19" s="11">
        <v>46063</v>
      </c>
      <c r="O19" s="3" t="s">
        <v>62</v>
      </c>
    </row>
    <row r="20" spans="1:15">
      <c r="A20" s="3">
        <v>186</v>
      </c>
      <c r="B20" s="22">
        <v>46050.509594907409</v>
      </c>
      <c r="C20" s="1" t="s">
        <v>25</v>
      </c>
      <c r="D20" s="3" t="s">
        <v>26</v>
      </c>
      <c r="E20" s="3" t="s">
        <v>26</v>
      </c>
      <c r="F20" s="3" t="s">
        <v>27</v>
      </c>
      <c r="G20" s="3">
        <v>1176919</v>
      </c>
      <c r="H20" s="19">
        <v>8.375</v>
      </c>
      <c r="I20" s="3" t="s">
        <v>52</v>
      </c>
      <c r="J20" s="3" t="s">
        <v>19</v>
      </c>
      <c r="K20" s="3">
        <v>13712055</v>
      </c>
      <c r="L20" s="11">
        <f>WORKDAY.INTL(
    INT(TblPlanner[[#This Row],[CompletionTime]]),
    IF(AND(TblPlanner[[#This Row],[Business Unit]]="UR Rental - Sperry", TblPlanner[[#This Row],[New / Repair]]="Repair"), 4, 6),
    7
)</f>
        <v>46058</v>
      </c>
      <c r="M20" s="11"/>
      <c r="N20" s="11">
        <v>46063</v>
      </c>
      <c r="O20" s="3" t="s">
        <v>63</v>
      </c>
    </row>
    <row r="21" spans="1:15">
      <c r="A21" s="3">
        <v>141</v>
      </c>
      <c r="B21" s="22">
        <v>46040.486400462964</v>
      </c>
      <c r="C21" s="1" t="s">
        <v>64</v>
      </c>
      <c r="D21" s="3" t="s">
        <v>65</v>
      </c>
      <c r="E21" s="3" t="s">
        <v>65</v>
      </c>
      <c r="F21" s="3" t="s">
        <v>66</v>
      </c>
      <c r="G21" s="3">
        <v>1234376</v>
      </c>
      <c r="H21" s="19">
        <v>12</v>
      </c>
      <c r="I21" s="3" t="s">
        <v>67</v>
      </c>
      <c r="J21" s="3" t="s">
        <v>35</v>
      </c>
      <c r="K21" s="3">
        <v>14369054</v>
      </c>
      <c r="L21" s="11">
        <f>WORKDAY.INTL(
    INT(TblPlanner[[#This Row],[CompletionTime]]),
    IF(AND(TblPlanner[[#This Row],[Business Unit]]="UR Rental - Sperry", TblPlanner[[#This Row],[New / Repair]]="Repair"), 4, 6),
    7
)</f>
        <v>46048</v>
      </c>
      <c r="M21" s="11">
        <v>46049</v>
      </c>
      <c r="N21" s="11">
        <v>46064</v>
      </c>
      <c r="O21" s="3"/>
    </row>
    <row r="22" spans="1:15">
      <c r="A22" s="3">
        <v>176</v>
      </c>
      <c r="B22" s="22">
        <v>46050.502638888887</v>
      </c>
      <c r="C22" s="1" t="s">
        <v>25</v>
      </c>
      <c r="D22" s="3" t="s">
        <v>26</v>
      </c>
      <c r="E22" s="3" t="s">
        <v>26</v>
      </c>
      <c r="F22" s="3" t="s">
        <v>27</v>
      </c>
      <c r="G22" s="3">
        <v>1058252</v>
      </c>
      <c r="H22" s="19">
        <v>16</v>
      </c>
      <c r="I22" s="3" t="s">
        <v>28</v>
      </c>
      <c r="J22" s="3" t="s">
        <v>19</v>
      </c>
      <c r="K22" s="3">
        <v>14093083</v>
      </c>
      <c r="L22" s="11">
        <f>WORKDAY.INTL(
    INT(TblPlanner[[#This Row],[CompletionTime]]),
    IF(AND(TblPlanner[[#This Row],[Business Unit]]="UR Rental - Sperry", TblPlanner[[#This Row],[New / Repair]]="Repair"), 4, 6),
    7
)</f>
        <v>46058</v>
      </c>
      <c r="M22" s="11"/>
      <c r="N22" s="11">
        <v>46064</v>
      </c>
      <c r="O22" s="3" t="s">
        <v>68</v>
      </c>
    </row>
    <row r="23" spans="1:15">
      <c r="A23" s="3">
        <v>179</v>
      </c>
      <c r="B23" s="22">
        <v>46050.506157407406</v>
      </c>
      <c r="C23" s="1" t="s">
        <v>25</v>
      </c>
      <c r="D23" s="3" t="s">
        <v>26</v>
      </c>
      <c r="E23" s="3" t="s">
        <v>26</v>
      </c>
      <c r="F23" s="3" t="s">
        <v>27</v>
      </c>
      <c r="G23" s="3">
        <v>1020531</v>
      </c>
      <c r="H23" s="19">
        <v>12</v>
      </c>
      <c r="I23" s="3" t="s">
        <v>49</v>
      </c>
      <c r="J23" s="3" t="s">
        <v>19</v>
      </c>
      <c r="K23" s="3">
        <v>13912279</v>
      </c>
      <c r="L23" s="11">
        <f>WORKDAY.INTL(
    INT(TblPlanner[[#This Row],[CompletionTime]]),
    IF(AND(TblPlanner[[#This Row],[Business Unit]]="UR Rental - Sperry", TblPlanner[[#This Row],[New / Repair]]="Repair"), 4, 6),
    7
)</f>
        <v>46058</v>
      </c>
      <c r="M23" s="11"/>
      <c r="N23" s="11">
        <v>46064</v>
      </c>
      <c r="O23" s="3" t="s">
        <v>69</v>
      </c>
    </row>
    <row r="24" spans="1:15">
      <c r="A24" s="3">
        <v>187</v>
      </c>
      <c r="B24" s="22">
        <v>46050.509953703702</v>
      </c>
      <c r="C24" s="1" t="s">
        <v>25</v>
      </c>
      <c r="D24" s="3" t="s">
        <v>26</v>
      </c>
      <c r="E24" s="3" t="s">
        <v>26</v>
      </c>
      <c r="F24" s="3" t="s">
        <v>27</v>
      </c>
      <c r="G24" s="3">
        <v>1176919</v>
      </c>
      <c r="H24" s="19">
        <v>8.375</v>
      </c>
      <c r="I24" s="3" t="s">
        <v>52</v>
      </c>
      <c r="J24" s="3" t="s">
        <v>19</v>
      </c>
      <c r="K24" s="3">
        <v>13862291</v>
      </c>
      <c r="L24" s="11">
        <f>WORKDAY.INTL(
    INT(TblPlanner[[#This Row],[CompletionTime]]),
    IF(AND(TblPlanner[[#This Row],[Business Unit]]="UR Rental - Sperry", TblPlanner[[#This Row],[New / Repair]]="Repair"), 4, 6),
    7
)</f>
        <v>46058</v>
      </c>
      <c r="M24" s="11"/>
      <c r="N24" s="11">
        <v>46064</v>
      </c>
      <c r="O24" s="3" t="s">
        <v>70</v>
      </c>
    </row>
    <row r="25" spans="1:15">
      <c r="A25" s="3">
        <v>188</v>
      </c>
      <c r="B25" s="22">
        <v>46050.510347222225</v>
      </c>
      <c r="C25" s="1" t="s">
        <v>25</v>
      </c>
      <c r="D25" s="3" t="s">
        <v>26</v>
      </c>
      <c r="E25" s="3" t="s">
        <v>26</v>
      </c>
      <c r="F25" s="3" t="s">
        <v>27</v>
      </c>
      <c r="G25" s="3" t="s">
        <v>71</v>
      </c>
      <c r="H25" s="19">
        <v>8.375</v>
      </c>
      <c r="I25" s="3" t="s">
        <v>72</v>
      </c>
      <c r="J25" s="3" t="s">
        <v>19</v>
      </c>
      <c r="K25" s="3">
        <v>14160194</v>
      </c>
      <c r="L25" s="11">
        <f>WORKDAY.INTL(
    INT(TblPlanner[[#This Row],[CompletionTime]]),
    IF(AND(TblPlanner[[#This Row],[Business Unit]]="UR Rental - Sperry", TblPlanner[[#This Row],[New / Repair]]="Repair"), 4, 6),
    7
)</f>
        <v>46058</v>
      </c>
      <c r="M25" s="11"/>
      <c r="N25" s="11">
        <v>46064</v>
      </c>
      <c r="O25" s="3" t="s">
        <v>73</v>
      </c>
    </row>
    <row r="26" spans="1:15">
      <c r="A26" s="3">
        <v>177</v>
      </c>
      <c r="B26" s="22">
        <v>46050.503472222219</v>
      </c>
      <c r="C26" s="1" t="s">
        <v>25</v>
      </c>
      <c r="D26" s="3" t="s">
        <v>26</v>
      </c>
      <c r="E26" s="3" t="s">
        <v>26</v>
      </c>
      <c r="F26" s="3" t="s">
        <v>27</v>
      </c>
      <c r="G26" s="3" t="s">
        <v>74</v>
      </c>
      <c r="H26" s="19">
        <v>12</v>
      </c>
      <c r="I26" s="3" t="s">
        <v>67</v>
      </c>
      <c r="J26" s="3" t="s">
        <v>19</v>
      </c>
      <c r="K26" s="3">
        <v>13719632</v>
      </c>
      <c r="L26" s="11">
        <f>WORKDAY.INTL(
    INT(TblPlanner[[#This Row],[CompletionTime]]),
    IF(AND(TblPlanner[[#This Row],[Business Unit]]="UR Rental - Sperry", TblPlanner[[#This Row],[New / Repair]]="Repair"), 4, 6),
    7
)</f>
        <v>46058</v>
      </c>
      <c r="M26" s="11"/>
      <c r="N26" s="11">
        <v>46065</v>
      </c>
      <c r="O26" s="3" t="s">
        <v>75</v>
      </c>
    </row>
    <row r="27" spans="1:15">
      <c r="A27" s="3">
        <v>184</v>
      </c>
      <c r="B27" s="22">
        <v>46050.508680555555</v>
      </c>
      <c r="C27" s="1" t="s">
        <v>25</v>
      </c>
      <c r="D27" s="3" t="s">
        <v>26</v>
      </c>
      <c r="E27" s="3" t="s">
        <v>26</v>
      </c>
      <c r="F27" s="3" t="s">
        <v>27</v>
      </c>
      <c r="G27" s="3">
        <v>1176919</v>
      </c>
      <c r="H27" s="19">
        <v>8.375</v>
      </c>
      <c r="I27" s="3" t="s">
        <v>52</v>
      </c>
      <c r="J27" s="3" t="s">
        <v>19</v>
      </c>
      <c r="K27" s="3">
        <v>13697072</v>
      </c>
      <c r="L27" s="11">
        <f>WORKDAY.INTL(
    INT(TblPlanner[[#This Row],[CompletionTime]]),
    IF(AND(TblPlanner[[#This Row],[Business Unit]]="UR Rental - Sperry", TblPlanner[[#This Row],[New / Repair]]="Repair"), 4, 6),
    7
)</f>
        <v>46058</v>
      </c>
      <c r="M27" s="11"/>
      <c r="N27" s="11">
        <v>46065</v>
      </c>
      <c r="O27" s="3" t="s">
        <v>76</v>
      </c>
    </row>
    <row r="28" spans="1:15">
      <c r="A28" s="3">
        <v>189</v>
      </c>
      <c r="B28" s="22">
        <v>46050.510740740741</v>
      </c>
      <c r="C28" s="1" t="s">
        <v>25</v>
      </c>
      <c r="D28" s="3" t="s">
        <v>26</v>
      </c>
      <c r="E28" s="3" t="s">
        <v>26</v>
      </c>
      <c r="F28" s="3" t="s">
        <v>27</v>
      </c>
      <c r="G28" s="3">
        <v>1080537</v>
      </c>
      <c r="H28" s="19">
        <v>8.375</v>
      </c>
      <c r="I28" s="3" t="s">
        <v>72</v>
      </c>
      <c r="J28" s="3" t="s">
        <v>19</v>
      </c>
      <c r="K28" s="3">
        <v>13845937</v>
      </c>
      <c r="L28" s="11">
        <f>WORKDAY.INTL(
    INT(TblPlanner[[#This Row],[CompletionTime]]),
    IF(AND(TblPlanner[[#This Row],[Business Unit]]="UR Rental - Sperry", TblPlanner[[#This Row],[New / Repair]]="Repair"), 4, 6),
    7
)</f>
        <v>46058</v>
      </c>
      <c r="M28" s="11"/>
      <c r="N28" s="11">
        <v>46065</v>
      </c>
      <c r="O28" s="3" t="s">
        <v>77</v>
      </c>
    </row>
    <row r="29" spans="1:15">
      <c r="A29" s="3">
        <v>190</v>
      </c>
      <c r="B29" s="22">
        <v>46050.511145833334</v>
      </c>
      <c r="C29" s="1" t="s">
        <v>25</v>
      </c>
      <c r="D29" s="3" t="s">
        <v>26</v>
      </c>
      <c r="E29" s="3" t="s">
        <v>26</v>
      </c>
      <c r="F29" s="3" t="s">
        <v>27</v>
      </c>
      <c r="G29" s="3">
        <v>1080537</v>
      </c>
      <c r="H29" s="19">
        <v>8.375</v>
      </c>
      <c r="I29" s="3" t="s">
        <v>72</v>
      </c>
      <c r="J29" s="3" t="s">
        <v>19</v>
      </c>
      <c r="K29" s="3">
        <v>13448043</v>
      </c>
      <c r="L29" s="11">
        <f>WORKDAY.INTL(
    INT(TblPlanner[[#This Row],[CompletionTime]]),
    IF(AND(TblPlanner[[#This Row],[Business Unit]]="UR Rental - Sperry", TblPlanner[[#This Row],[New / Repair]]="Repair"), 4, 6),
    7
)</f>
        <v>46058</v>
      </c>
      <c r="M29" s="11"/>
      <c r="N29" s="11">
        <v>46065</v>
      </c>
      <c r="O29" s="3" t="s">
        <v>78</v>
      </c>
    </row>
    <row r="30" spans="1:15">
      <c r="A30" s="3">
        <v>180</v>
      </c>
      <c r="B30" s="22">
        <v>46050.50677083333</v>
      </c>
      <c r="C30" s="1" t="s">
        <v>25</v>
      </c>
      <c r="D30" s="3" t="s">
        <v>26</v>
      </c>
      <c r="E30" s="3" t="s">
        <v>26</v>
      </c>
      <c r="F30" s="3" t="s">
        <v>27</v>
      </c>
      <c r="G30" s="3">
        <v>1134806</v>
      </c>
      <c r="H30" s="19">
        <v>12</v>
      </c>
      <c r="I30" s="3" t="s">
        <v>72</v>
      </c>
      <c r="J30" s="3" t="s">
        <v>19</v>
      </c>
      <c r="K30" s="3">
        <v>13846594</v>
      </c>
      <c r="L30" s="11">
        <f>WORKDAY.INTL(
    INT(TblPlanner[[#This Row],[CompletionTime]]),
    IF(AND(TblPlanner[[#This Row],[Business Unit]]="UR Rental - Sperry", TblPlanner[[#This Row],[New / Repair]]="Repair"), 4, 6),
    7
)</f>
        <v>46058</v>
      </c>
      <c r="M30" s="11"/>
      <c r="N30" s="11">
        <v>46068</v>
      </c>
      <c r="O30" s="3" t="s">
        <v>79</v>
      </c>
    </row>
    <row r="31" spans="1:15">
      <c r="A31" s="3">
        <v>191</v>
      </c>
      <c r="B31" s="22">
        <v>46050.511504629627</v>
      </c>
      <c r="C31" s="1" t="s">
        <v>25</v>
      </c>
      <c r="D31" s="3" t="s">
        <v>26</v>
      </c>
      <c r="E31" s="3" t="s">
        <v>26</v>
      </c>
      <c r="F31" s="3" t="s">
        <v>27</v>
      </c>
      <c r="G31" s="3">
        <v>1080537</v>
      </c>
      <c r="H31" s="19">
        <v>8.375</v>
      </c>
      <c r="I31" s="3" t="s">
        <v>72</v>
      </c>
      <c r="J31" s="3" t="s">
        <v>19</v>
      </c>
      <c r="K31" s="3">
        <v>13607750</v>
      </c>
      <c r="L31" s="11">
        <f>WORKDAY.INTL(
    INT(TblPlanner[[#This Row],[CompletionTime]]),
    IF(AND(TblPlanner[[#This Row],[Business Unit]]="UR Rental - Sperry", TblPlanner[[#This Row],[New / Repair]]="Repair"), 4, 6),
    7
)</f>
        <v>46058</v>
      </c>
      <c r="M31" s="11"/>
      <c r="N31" s="11">
        <v>46068</v>
      </c>
      <c r="O31" s="3" t="s">
        <v>80</v>
      </c>
    </row>
    <row r="32" spans="1:15">
      <c r="A32" s="3">
        <v>222</v>
      </c>
      <c r="B32" s="22">
        <v>46054.453819444447</v>
      </c>
      <c r="C32" s="1" t="s">
        <v>64</v>
      </c>
      <c r="D32" s="3" t="s">
        <v>65</v>
      </c>
      <c r="E32" s="3" t="s">
        <v>65</v>
      </c>
      <c r="F32" s="3" t="s">
        <v>66</v>
      </c>
      <c r="G32" s="3">
        <v>2028515</v>
      </c>
      <c r="H32" s="19">
        <v>8.375</v>
      </c>
      <c r="I32" s="3" t="s">
        <v>81</v>
      </c>
      <c r="J32" s="3" t="s">
        <v>35</v>
      </c>
      <c r="K32" s="3">
        <v>14476931</v>
      </c>
      <c r="L32" s="11">
        <f>WORKDAY.INTL(
    INT(TblPlanner[[#This Row],[CompletionTime]]),
    IF(AND(TblPlanner[[#This Row],[Business Unit]]="UR Rental - Sperry", TblPlanner[[#This Row],[New / Repair]]="Repair"), 4, 6),
    7
)</f>
        <v>46062</v>
      </c>
      <c r="M32" s="11"/>
      <c r="N32" s="11">
        <v>46069</v>
      </c>
      <c r="O32" s="3"/>
    </row>
    <row r="33" spans="1:15">
      <c r="A33" s="3">
        <v>221</v>
      </c>
      <c r="B33" s="22">
        <v>46054.394189814811</v>
      </c>
      <c r="C33" s="1" t="s">
        <v>82</v>
      </c>
      <c r="D33" s="3" t="s">
        <v>83</v>
      </c>
      <c r="E33" s="3" t="s">
        <v>83</v>
      </c>
      <c r="F33" s="3" t="s">
        <v>42</v>
      </c>
      <c r="G33" s="3">
        <v>1267122</v>
      </c>
      <c r="H33" s="19">
        <v>12.25</v>
      </c>
      <c r="I33" s="3" t="s">
        <v>84</v>
      </c>
      <c r="J33" s="3" t="s">
        <v>35</v>
      </c>
      <c r="K33" s="3">
        <v>14462460</v>
      </c>
      <c r="L33" s="11">
        <f>WORKDAY.INTL(
    INT(TblPlanner[[#This Row],[CompletionTime]]),
    IF(AND(TblPlanner[[#This Row],[Business Unit]]="UR Rental - Sperry", TblPlanner[[#This Row],[New / Repair]]="Repair"), 4, 6),
    7
)</f>
        <v>46062</v>
      </c>
      <c r="M33" s="11"/>
      <c r="N33" s="11">
        <v>46070</v>
      </c>
      <c r="O33" s="3"/>
    </row>
    <row r="34" spans="1:15">
      <c r="A34" s="3">
        <v>223</v>
      </c>
      <c r="B34" s="22">
        <v>46055.312002314815</v>
      </c>
      <c r="C34" s="1" t="s">
        <v>64</v>
      </c>
      <c r="D34" s="3" t="s">
        <v>85</v>
      </c>
      <c r="E34" s="3" t="s">
        <v>85</v>
      </c>
      <c r="F34" s="3" t="s">
        <v>66</v>
      </c>
      <c r="G34" s="3">
        <v>2022829</v>
      </c>
      <c r="H34" s="19">
        <v>8.375</v>
      </c>
      <c r="I34" s="3" t="s">
        <v>86</v>
      </c>
      <c r="J34" s="3" t="s">
        <v>35</v>
      </c>
      <c r="K34" s="3">
        <v>14487991</v>
      </c>
      <c r="L34" s="11">
        <f>WORKDAY.INTL(
    INT(TblPlanner[[#This Row],[CompletionTime]]),
    IF(AND(TblPlanner[[#This Row],[Business Unit]]="UR Rental - Sperry", TblPlanner[[#This Row],[New / Repair]]="Repair"), 4, 6),
    7
)</f>
        <v>46063</v>
      </c>
      <c r="M34" s="11"/>
      <c r="N34" s="11">
        <v>46072</v>
      </c>
      <c r="O34" s="3"/>
    </row>
    <row r="35" spans="1:15">
      <c r="A35" s="3">
        <v>225</v>
      </c>
      <c r="B35" s="22">
        <v>46058.374039351853</v>
      </c>
      <c r="C35" s="1" t="s">
        <v>64</v>
      </c>
      <c r="D35" s="3" t="s">
        <v>85</v>
      </c>
      <c r="E35" s="3" t="s">
        <v>85</v>
      </c>
      <c r="F35" s="3" t="s">
        <v>66</v>
      </c>
      <c r="G35" s="3">
        <v>2017993</v>
      </c>
      <c r="H35" s="19">
        <v>5.875</v>
      </c>
      <c r="I35" s="3" t="s">
        <v>87</v>
      </c>
      <c r="J35" s="3" t="s">
        <v>35</v>
      </c>
      <c r="K35" s="3">
        <v>14478092</v>
      </c>
      <c r="L35" s="11">
        <f>WORKDAY.INTL(
    INT(TblPlanner[[#This Row],[CompletionTime]]),
    IF(AND(TblPlanner[[#This Row],[Business Unit]]="UR Rental - Sperry", TblPlanner[[#This Row],[New / Repair]]="Repair"), 4, 6),
    7
)</f>
        <v>46068</v>
      </c>
      <c r="M35" s="11"/>
      <c r="N35" s="11">
        <v>46072</v>
      </c>
      <c r="O35" s="3"/>
    </row>
    <row r="36" spans="1:15">
      <c r="A36" s="3">
        <v>192</v>
      </c>
      <c r="B36" s="22">
        <v>46050.511886574073</v>
      </c>
      <c r="C36" s="1" t="s">
        <v>25</v>
      </c>
      <c r="D36" s="3" t="s">
        <v>26</v>
      </c>
      <c r="E36" s="3" t="s">
        <v>26</v>
      </c>
      <c r="F36" s="3" t="s">
        <v>27</v>
      </c>
      <c r="G36" s="3">
        <v>1033011</v>
      </c>
      <c r="H36" s="19">
        <v>16</v>
      </c>
      <c r="I36" s="3" t="s">
        <v>88</v>
      </c>
      <c r="J36" s="3" t="s">
        <v>19</v>
      </c>
      <c r="K36" s="3">
        <v>13846598</v>
      </c>
      <c r="L36" s="11">
        <f>WORKDAY.INTL(
    INT(TblPlanner[[#This Row],[CompletionTime]]),
    IF(AND(TblPlanner[[#This Row],[Business Unit]]="UR Rental - Sperry", TblPlanner[[#This Row],[New / Repair]]="Repair"), 4, 6),
    7
)</f>
        <v>46058</v>
      </c>
      <c r="M36" s="11"/>
      <c r="N36" s="11"/>
      <c r="O36" s="3" t="s">
        <v>89</v>
      </c>
    </row>
    <row r="37" spans="1:15">
      <c r="A37" s="3">
        <v>193</v>
      </c>
      <c r="B37" s="22">
        <v>46050.51226851852</v>
      </c>
      <c r="C37" s="1" t="s">
        <v>25</v>
      </c>
      <c r="D37" s="3" t="s">
        <v>26</v>
      </c>
      <c r="E37" s="3" t="s">
        <v>26</v>
      </c>
      <c r="F37" s="3" t="s">
        <v>27</v>
      </c>
      <c r="G37" s="3">
        <v>1058252</v>
      </c>
      <c r="H37" s="19">
        <v>16</v>
      </c>
      <c r="I37" s="3" t="s">
        <v>28</v>
      </c>
      <c r="J37" s="3" t="s">
        <v>19</v>
      </c>
      <c r="K37" s="3">
        <v>14074749</v>
      </c>
      <c r="L37" s="11">
        <f>WORKDAY.INTL(
    INT(TblPlanner[[#This Row],[CompletionTime]]),
    IF(AND(TblPlanner[[#This Row],[Business Unit]]="UR Rental - Sperry", TblPlanner[[#This Row],[New / Repair]]="Repair"), 4, 6),
    7
)</f>
        <v>46058</v>
      </c>
      <c r="M37" s="11"/>
      <c r="N37" s="11"/>
      <c r="O37" s="3" t="s">
        <v>90</v>
      </c>
    </row>
    <row r="38" spans="1:15">
      <c r="A38" s="3">
        <v>194</v>
      </c>
      <c r="B38" s="22">
        <v>46050.512743055559</v>
      </c>
      <c r="C38" s="1" t="s">
        <v>25</v>
      </c>
      <c r="D38" s="3" t="s">
        <v>26</v>
      </c>
      <c r="E38" s="3" t="s">
        <v>26</v>
      </c>
      <c r="F38" s="3" t="s">
        <v>27</v>
      </c>
      <c r="G38" s="3" t="s">
        <v>91</v>
      </c>
      <c r="H38" s="19">
        <v>16</v>
      </c>
      <c r="I38" s="3" t="s">
        <v>28</v>
      </c>
      <c r="J38" s="3" t="s">
        <v>19</v>
      </c>
      <c r="K38" s="3">
        <v>14056707</v>
      </c>
      <c r="L38" s="11">
        <f>WORKDAY.INTL(
    INT(TblPlanner[[#This Row],[CompletionTime]]),
    IF(AND(TblPlanner[[#This Row],[Business Unit]]="UR Rental - Sperry", TblPlanner[[#This Row],[New / Repair]]="Repair"), 4, 6),
    7
)</f>
        <v>46058</v>
      </c>
      <c r="M38" s="11"/>
      <c r="N38" s="11"/>
      <c r="O38" s="3" t="s">
        <v>92</v>
      </c>
    </row>
    <row r="39" spans="1:15">
      <c r="A39" s="3">
        <v>195</v>
      </c>
      <c r="B39" s="22">
        <v>46050.513101851851</v>
      </c>
      <c r="C39" s="1" t="s">
        <v>25</v>
      </c>
      <c r="D39" s="3" t="s">
        <v>26</v>
      </c>
      <c r="E39" s="3" t="s">
        <v>26</v>
      </c>
      <c r="F39" s="3" t="s">
        <v>27</v>
      </c>
      <c r="G39" s="3" t="s">
        <v>93</v>
      </c>
      <c r="H39" s="19">
        <v>12.25</v>
      </c>
      <c r="I39" s="3" t="s">
        <v>84</v>
      </c>
      <c r="J39" s="3" t="s">
        <v>19</v>
      </c>
      <c r="K39" s="3">
        <v>14081905</v>
      </c>
      <c r="L39" s="11">
        <f>WORKDAY.INTL(
    INT(TblPlanner[[#This Row],[CompletionTime]]),
    IF(AND(TblPlanner[[#This Row],[Business Unit]]="UR Rental - Sperry", TblPlanner[[#This Row],[New / Repair]]="Repair"), 4, 6),
    7
)</f>
        <v>46058</v>
      </c>
      <c r="M39" s="11"/>
      <c r="N39" s="11"/>
      <c r="O39" s="3" t="s">
        <v>94</v>
      </c>
    </row>
    <row r="40" spans="1:15">
      <c r="A40" s="3">
        <v>196</v>
      </c>
      <c r="B40" s="22">
        <v>46050.513483796298</v>
      </c>
      <c r="C40" s="1" t="s">
        <v>25</v>
      </c>
      <c r="D40" s="3" t="s">
        <v>26</v>
      </c>
      <c r="E40" s="3" t="s">
        <v>26</v>
      </c>
      <c r="F40" s="3" t="s">
        <v>27</v>
      </c>
      <c r="G40" s="3" t="s">
        <v>74</v>
      </c>
      <c r="H40" s="19">
        <v>12</v>
      </c>
      <c r="I40" s="3" t="s">
        <v>67</v>
      </c>
      <c r="J40" s="3" t="s">
        <v>19</v>
      </c>
      <c r="K40" s="3">
        <v>13740204</v>
      </c>
      <c r="L40" s="11">
        <f>WORKDAY.INTL(
    INT(TblPlanner[[#This Row],[CompletionTime]]),
    IF(AND(TblPlanner[[#This Row],[Business Unit]]="UR Rental - Sperry", TblPlanner[[#This Row],[New / Repair]]="Repair"), 4, 6),
    7
)</f>
        <v>46058</v>
      </c>
      <c r="M40" s="11"/>
      <c r="N40" s="11"/>
      <c r="O40" s="3" t="s">
        <v>95</v>
      </c>
    </row>
    <row r="41" spans="1:15">
      <c r="A41" s="3">
        <v>197</v>
      </c>
      <c r="B41" s="22">
        <v>46050.513865740744</v>
      </c>
      <c r="C41" s="1" t="s">
        <v>25</v>
      </c>
      <c r="D41" s="3" t="s">
        <v>26</v>
      </c>
      <c r="E41" s="3" t="s">
        <v>26</v>
      </c>
      <c r="F41" s="3" t="s">
        <v>27</v>
      </c>
      <c r="G41" s="3">
        <v>1020531</v>
      </c>
      <c r="H41" s="19">
        <v>12</v>
      </c>
      <c r="I41" s="3" t="s">
        <v>49</v>
      </c>
      <c r="J41" s="3" t="s">
        <v>19</v>
      </c>
      <c r="K41" s="3">
        <v>13712066</v>
      </c>
      <c r="L41" s="11">
        <f>WORKDAY.INTL(
    INT(TblPlanner[[#This Row],[CompletionTime]]),
    IF(AND(TblPlanner[[#This Row],[Business Unit]]="UR Rental - Sperry", TblPlanner[[#This Row],[New / Repair]]="Repair"), 4, 6),
    7
)</f>
        <v>46058</v>
      </c>
      <c r="M41" s="11"/>
      <c r="N41" s="11"/>
      <c r="O41" s="3" t="s">
        <v>96</v>
      </c>
    </row>
    <row r="42" spans="1:15">
      <c r="A42" s="3">
        <v>198</v>
      </c>
      <c r="B42" s="22">
        <v>46050.514178240737</v>
      </c>
      <c r="C42" s="1" t="s">
        <v>25</v>
      </c>
      <c r="D42" s="3" t="s">
        <v>26</v>
      </c>
      <c r="E42" s="3" t="s">
        <v>26</v>
      </c>
      <c r="F42" s="3" t="s">
        <v>27</v>
      </c>
      <c r="G42" s="3">
        <v>1020531</v>
      </c>
      <c r="H42" s="19">
        <v>12</v>
      </c>
      <c r="I42" s="3" t="s">
        <v>49</v>
      </c>
      <c r="J42" s="3" t="s">
        <v>19</v>
      </c>
      <c r="K42" s="3">
        <v>13739190</v>
      </c>
      <c r="L42" s="11">
        <f>WORKDAY.INTL(
    INT(TblPlanner[[#This Row],[CompletionTime]]),
    IF(AND(TblPlanner[[#This Row],[Business Unit]]="UR Rental - Sperry", TblPlanner[[#This Row],[New / Repair]]="Repair"), 4, 6),
    7
)</f>
        <v>46058</v>
      </c>
      <c r="M42" s="11"/>
      <c r="N42" s="11"/>
      <c r="O42" s="3" t="s">
        <v>97</v>
      </c>
    </row>
    <row r="43" spans="1:15">
      <c r="A43" s="3">
        <v>199</v>
      </c>
      <c r="B43" s="22">
        <v>46050.514560185184</v>
      </c>
      <c r="C43" s="1" t="s">
        <v>25</v>
      </c>
      <c r="D43" s="3" t="s">
        <v>26</v>
      </c>
      <c r="E43" s="3" t="s">
        <v>26</v>
      </c>
      <c r="F43" s="3" t="s">
        <v>27</v>
      </c>
      <c r="G43" s="3">
        <v>1020531</v>
      </c>
      <c r="H43" s="19">
        <v>12</v>
      </c>
      <c r="I43" s="3" t="s">
        <v>49</v>
      </c>
      <c r="J43" s="3" t="s">
        <v>19</v>
      </c>
      <c r="K43" s="3">
        <v>13754554</v>
      </c>
      <c r="L43" s="11">
        <f>WORKDAY.INTL(
    INT(TblPlanner[[#This Row],[CompletionTime]]),
    IF(AND(TblPlanner[[#This Row],[Business Unit]]="UR Rental - Sperry", TblPlanner[[#This Row],[New / Repair]]="Repair"), 4, 6),
    7
)</f>
        <v>46058</v>
      </c>
      <c r="M43" s="11"/>
      <c r="N43" s="11"/>
      <c r="O43" s="3" t="s">
        <v>98</v>
      </c>
    </row>
    <row r="44" spans="1:15">
      <c r="A44" s="3">
        <v>200</v>
      </c>
      <c r="B44" s="22">
        <v>46050.51494212963</v>
      </c>
      <c r="C44" s="1" t="s">
        <v>25</v>
      </c>
      <c r="D44" s="3" t="s">
        <v>26</v>
      </c>
      <c r="E44" s="3" t="s">
        <v>26</v>
      </c>
      <c r="F44" s="3" t="s">
        <v>27</v>
      </c>
      <c r="G44" s="3">
        <v>1020531</v>
      </c>
      <c r="H44" s="19">
        <v>12</v>
      </c>
      <c r="I44" s="3" t="s">
        <v>49</v>
      </c>
      <c r="J44" s="3" t="s">
        <v>19</v>
      </c>
      <c r="K44" s="3">
        <v>13865013</v>
      </c>
      <c r="L44" s="11">
        <f>WORKDAY.INTL(
    INT(TblPlanner[[#This Row],[CompletionTime]]),
    IF(AND(TblPlanner[[#This Row],[Business Unit]]="UR Rental - Sperry", TblPlanner[[#This Row],[New / Repair]]="Repair"), 4, 6),
    7
)</f>
        <v>46058</v>
      </c>
      <c r="M44" s="11"/>
      <c r="N44" s="11"/>
      <c r="O44" s="3" t="s">
        <v>99</v>
      </c>
    </row>
    <row r="45" spans="1:15">
      <c r="A45" s="3">
        <v>201</v>
      </c>
      <c r="B45" s="22">
        <v>46050.515324074076</v>
      </c>
      <c r="C45" s="1" t="s">
        <v>25</v>
      </c>
      <c r="D45" s="3" t="s">
        <v>26</v>
      </c>
      <c r="E45" s="3" t="s">
        <v>26</v>
      </c>
      <c r="F45" s="3" t="s">
        <v>27</v>
      </c>
      <c r="G45" s="3">
        <v>1276939</v>
      </c>
      <c r="H45" s="19">
        <v>8.5</v>
      </c>
      <c r="I45" s="3" t="s">
        <v>38</v>
      </c>
      <c r="J45" s="3" t="s">
        <v>19</v>
      </c>
      <c r="K45" s="3">
        <v>14119214</v>
      </c>
      <c r="L45" s="11">
        <f>WORKDAY.INTL(
    INT(TblPlanner[[#This Row],[CompletionTime]]),
    IF(AND(TblPlanner[[#This Row],[Business Unit]]="UR Rental - Sperry", TblPlanner[[#This Row],[New / Repair]]="Repair"), 4, 6),
    7
)</f>
        <v>46058</v>
      </c>
      <c r="M45" s="11"/>
      <c r="N45" s="11"/>
      <c r="O45" s="3" t="s">
        <v>100</v>
      </c>
    </row>
    <row r="46" spans="1:15">
      <c r="A46" s="3">
        <v>202</v>
      </c>
      <c r="B46" s="22">
        <v>46050.515659722223</v>
      </c>
      <c r="C46" s="1" t="s">
        <v>25</v>
      </c>
      <c r="D46" s="3" t="s">
        <v>26</v>
      </c>
      <c r="E46" s="3" t="s">
        <v>26</v>
      </c>
      <c r="F46" s="3" t="s">
        <v>27</v>
      </c>
      <c r="G46" s="3">
        <v>1276939</v>
      </c>
      <c r="H46" s="19">
        <v>8.5</v>
      </c>
      <c r="I46" s="3" t="s">
        <v>38</v>
      </c>
      <c r="J46" s="3" t="s">
        <v>19</v>
      </c>
      <c r="K46" s="3">
        <v>14190173</v>
      </c>
      <c r="L46" s="11">
        <f>WORKDAY.INTL(
    INT(TblPlanner[[#This Row],[CompletionTime]]),
    IF(AND(TblPlanner[[#This Row],[Business Unit]]="UR Rental - Sperry", TblPlanner[[#This Row],[New / Repair]]="Repair"), 4, 6),
    7
)</f>
        <v>46058</v>
      </c>
      <c r="M46" s="11"/>
      <c r="N46" s="11"/>
      <c r="O46" s="3" t="s">
        <v>101</v>
      </c>
    </row>
    <row r="47" spans="1:15">
      <c r="A47" s="3">
        <v>203</v>
      </c>
      <c r="B47" s="22">
        <v>46050.516006944446</v>
      </c>
      <c r="C47" s="1" t="s">
        <v>25</v>
      </c>
      <c r="D47" s="3" t="s">
        <v>26</v>
      </c>
      <c r="E47" s="3" t="s">
        <v>26</v>
      </c>
      <c r="F47" s="3" t="s">
        <v>27</v>
      </c>
      <c r="G47" s="3">
        <v>1176919</v>
      </c>
      <c r="H47" s="19">
        <v>8.375</v>
      </c>
      <c r="I47" s="3" t="s">
        <v>52</v>
      </c>
      <c r="J47" s="3" t="s">
        <v>19</v>
      </c>
      <c r="K47" s="3">
        <v>13845933</v>
      </c>
      <c r="L47" s="11">
        <f>WORKDAY.INTL(
    INT(TblPlanner[[#This Row],[CompletionTime]]),
    IF(AND(TblPlanner[[#This Row],[Business Unit]]="UR Rental - Sperry", TblPlanner[[#This Row],[New / Repair]]="Repair"), 4, 6),
    7
)</f>
        <v>46058</v>
      </c>
      <c r="M47" s="11"/>
      <c r="N47" s="11"/>
      <c r="O47" s="3" t="s">
        <v>102</v>
      </c>
    </row>
    <row r="48" spans="1:15">
      <c r="A48" s="3">
        <v>204</v>
      </c>
      <c r="B48" s="22">
        <v>46050.516319444447</v>
      </c>
      <c r="C48" s="1" t="s">
        <v>25</v>
      </c>
      <c r="D48" s="3" t="s">
        <v>26</v>
      </c>
      <c r="E48" s="3" t="s">
        <v>26</v>
      </c>
      <c r="F48" s="3" t="s">
        <v>27</v>
      </c>
      <c r="G48" s="3">
        <v>1176919</v>
      </c>
      <c r="H48" s="19">
        <v>8.375</v>
      </c>
      <c r="I48" s="3" t="s">
        <v>52</v>
      </c>
      <c r="J48" s="3" t="s">
        <v>19</v>
      </c>
      <c r="K48" s="3">
        <v>13862294</v>
      </c>
      <c r="L48" s="11">
        <f>WORKDAY.INTL(
    INT(TblPlanner[[#This Row],[CompletionTime]]),
    IF(AND(TblPlanner[[#This Row],[Business Unit]]="UR Rental - Sperry", TblPlanner[[#This Row],[New / Repair]]="Repair"), 4, 6),
    7
)</f>
        <v>46058</v>
      </c>
      <c r="M48" s="11"/>
      <c r="N48" s="11"/>
      <c r="O48" s="3" t="s">
        <v>103</v>
      </c>
    </row>
    <row r="49" spans="1:15">
      <c r="A49" s="3">
        <v>205</v>
      </c>
      <c r="B49" s="22">
        <v>46050.51667824074</v>
      </c>
      <c r="C49" s="1" t="s">
        <v>25</v>
      </c>
      <c r="D49" s="3" t="s">
        <v>26</v>
      </c>
      <c r="E49" s="3" t="s">
        <v>26</v>
      </c>
      <c r="F49" s="3" t="s">
        <v>27</v>
      </c>
      <c r="G49" s="3" t="s">
        <v>104</v>
      </c>
      <c r="H49" s="19">
        <v>8.375</v>
      </c>
      <c r="I49" s="3" t="s">
        <v>52</v>
      </c>
      <c r="J49" s="3" t="s">
        <v>19</v>
      </c>
      <c r="K49" s="3">
        <v>13870634</v>
      </c>
      <c r="L49" s="11">
        <f>WORKDAY.INTL(
    INT(TblPlanner[[#This Row],[CompletionTime]]),
    IF(AND(TblPlanner[[#This Row],[Business Unit]]="UR Rental - Sperry", TblPlanner[[#This Row],[New / Repair]]="Repair"), 4, 6),
    7
)</f>
        <v>46058</v>
      </c>
      <c r="M49" s="11"/>
      <c r="N49" s="11"/>
      <c r="O49" s="3" t="s">
        <v>105</v>
      </c>
    </row>
    <row r="50" spans="1:15">
      <c r="A50" s="3">
        <v>206</v>
      </c>
      <c r="B50" s="22">
        <v>46050.517083333332</v>
      </c>
      <c r="C50" s="1" t="s">
        <v>25</v>
      </c>
      <c r="D50" s="3" t="s">
        <v>26</v>
      </c>
      <c r="E50" s="3" t="s">
        <v>26</v>
      </c>
      <c r="F50" s="3" t="s">
        <v>27</v>
      </c>
      <c r="G50" s="3">
        <v>1080537</v>
      </c>
      <c r="H50" s="19">
        <v>8.375</v>
      </c>
      <c r="I50" s="3" t="s">
        <v>72</v>
      </c>
      <c r="J50" s="3" t="s">
        <v>19</v>
      </c>
      <c r="K50" s="3">
        <v>13771583</v>
      </c>
      <c r="L50" s="11">
        <f>WORKDAY.INTL(
    INT(TblPlanner[[#This Row],[CompletionTime]]),
    IF(AND(TblPlanner[[#This Row],[Business Unit]]="UR Rental - Sperry", TblPlanner[[#This Row],[New / Repair]]="Repair"), 4, 6),
    7
)</f>
        <v>46058</v>
      </c>
      <c r="M50" s="11"/>
      <c r="N50" s="11"/>
      <c r="O50" s="3" t="s">
        <v>106</v>
      </c>
    </row>
    <row r="51" spans="1:15">
      <c r="A51" s="3">
        <v>207</v>
      </c>
      <c r="B51" s="22">
        <v>46050.517418981479</v>
      </c>
      <c r="C51" s="1" t="s">
        <v>25</v>
      </c>
      <c r="D51" s="3" t="s">
        <v>26</v>
      </c>
      <c r="E51" s="3" t="s">
        <v>26</v>
      </c>
      <c r="F51" s="3" t="s">
        <v>27</v>
      </c>
      <c r="G51" s="3">
        <v>1080537</v>
      </c>
      <c r="H51" s="19">
        <v>8.375</v>
      </c>
      <c r="I51" s="3" t="s">
        <v>72</v>
      </c>
      <c r="J51" s="3" t="s">
        <v>19</v>
      </c>
      <c r="K51" s="3">
        <v>13771589</v>
      </c>
      <c r="L51" s="11">
        <f>WORKDAY.INTL(
    INT(TblPlanner[[#This Row],[CompletionTime]]),
    IF(AND(TblPlanner[[#This Row],[Business Unit]]="UR Rental - Sperry", TblPlanner[[#This Row],[New / Repair]]="Repair"), 4, 6),
    7
)</f>
        <v>46058</v>
      </c>
      <c r="M51" s="11"/>
      <c r="N51" s="11"/>
      <c r="O51" s="3" t="s">
        <v>107</v>
      </c>
    </row>
    <row r="52" spans="1:15">
      <c r="A52" s="3">
        <v>208</v>
      </c>
      <c r="B52" s="22">
        <v>46050.517766203702</v>
      </c>
      <c r="C52" s="1" t="s">
        <v>25</v>
      </c>
      <c r="D52" s="3" t="s">
        <v>26</v>
      </c>
      <c r="E52" s="3" t="s">
        <v>26</v>
      </c>
      <c r="F52" s="3" t="s">
        <v>27</v>
      </c>
      <c r="G52" s="3">
        <v>1080537</v>
      </c>
      <c r="H52" s="19">
        <v>8.375</v>
      </c>
      <c r="I52" s="3" t="s">
        <v>72</v>
      </c>
      <c r="J52" s="3" t="s">
        <v>19</v>
      </c>
      <c r="K52" s="3">
        <v>13791389</v>
      </c>
      <c r="L52" s="11">
        <f>WORKDAY.INTL(
    INT(TblPlanner[[#This Row],[CompletionTime]]),
    IF(AND(TblPlanner[[#This Row],[Business Unit]]="UR Rental - Sperry", TblPlanner[[#This Row],[New / Repair]]="Repair"), 4, 6),
    7
)</f>
        <v>46058</v>
      </c>
      <c r="M52" s="11"/>
      <c r="N52" s="11"/>
      <c r="O52" s="3" t="s">
        <v>108</v>
      </c>
    </row>
    <row r="53" spans="1:15">
      <c r="A53" s="3">
        <v>209</v>
      </c>
      <c r="B53" s="22">
        <v>46050.518217592595</v>
      </c>
      <c r="C53" s="1" t="s">
        <v>25</v>
      </c>
      <c r="D53" s="3" t="s">
        <v>26</v>
      </c>
      <c r="E53" s="3" t="s">
        <v>26</v>
      </c>
      <c r="F53" s="3" t="s">
        <v>27</v>
      </c>
      <c r="G53" s="3" t="s">
        <v>109</v>
      </c>
      <c r="H53" s="19">
        <v>8.375</v>
      </c>
      <c r="I53" s="3" t="s">
        <v>110</v>
      </c>
      <c r="J53" s="3" t="s">
        <v>19</v>
      </c>
      <c r="K53" s="3">
        <v>13685077</v>
      </c>
      <c r="L53" s="11">
        <f>WORKDAY.INTL(
    INT(TblPlanner[[#This Row],[CompletionTime]]),
    IF(AND(TblPlanner[[#This Row],[Business Unit]]="UR Rental - Sperry", TblPlanner[[#This Row],[New / Repair]]="Repair"), 4, 6),
    7
)</f>
        <v>46058</v>
      </c>
      <c r="M53" s="11"/>
      <c r="N53" s="11"/>
      <c r="O53" s="3" t="s">
        <v>111</v>
      </c>
    </row>
    <row r="54" spans="1:15">
      <c r="A54" s="3">
        <v>210</v>
      </c>
      <c r="B54" s="22">
        <v>46050.518611111111</v>
      </c>
      <c r="C54" s="1" t="s">
        <v>25</v>
      </c>
      <c r="D54" s="3" t="s">
        <v>26</v>
      </c>
      <c r="E54" s="3" t="s">
        <v>26</v>
      </c>
      <c r="F54" s="3" t="s">
        <v>27</v>
      </c>
      <c r="G54" s="3" t="s">
        <v>109</v>
      </c>
      <c r="H54" s="19">
        <v>8.375</v>
      </c>
      <c r="I54" s="3" t="s">
        <v>110</v>
      </c>
      <c r="J54" s="3" t="s">
        <v>19</v>
      </c>
      <c r="K54" s="3">
        <v>13695797</v>
      </c>
      <c r="L54" s="11">
        <f>WORKDAY.INTL(
    INT(TblPlanner[[#This Row],[CompletionTime]]),
    IF(AND(TblPlanner[[#This Row],[Business Unit]]="UR Rental - Sperry", TblPlanner[[#This Row],[New / Repair]]="Repair"), 4, 6),
    7
)</f>
        <v>46058</v>
      </c>
      <c r="M54" s="11"/>
      <c r="N54" s="11"/>
      <c r="O54" s="3" t="s">
        <v>112</v>
      </c>
    </row>
    <row r="55" spans="1:15">
      <c r="A55" s="3">
        <v>211</v>
      </c>
      <c r="B55" s="22">
        <v>46050.518969907411</v>
      </c>
      <c r="C55" s="1" t="s">
        <v>25</v>
      </c>
      <c r="D55" s="3" t="s">
        <v>26</v>
      </c>
      <c r="E55" s="3" t="s">
        <v>26</v>
      </c>
      <c r="F55" s="3" t="s">
        <v>27</v>
      </c>
      <c r="G55" s="3" t="s">
        <v>109</v>
      </c>
      <c r="H55" s="19">
        <v>8.375</v>
      </c>
      <c r="I55" s="3" t="s">
        <v>110</v>
      </c>
      <c r="J55" s="3" t="s">
        <v>19</v>
      </c>
      <c r="K55" s="3">
        <v>13711524</v>
      </c>
      <c r="L55" s="11">
        <f>WORKDAY.INTL(
    INT(TblPlanner[[#This Row],[CompletionTime]]),
    IF(AND(TblPlanner[[#This Row],[Business Unit]]="UR Rental - Sperry", TblPlanner[[#This Row],[New / Repair]]="Repair"), 4, 6),
    7
)</f>
        <v>46058</v>
      </c>
      <c r="M55" s="11"/>
      <c r="N55" s="11"/>
      <c r="O55" s="3" t="s">
        <v>113</v>
      </c>
    </row>
    <row r="56" spans="1:15">
      <c r="A56" s="3">
        <v>212</v>
      </c>
      <c r="B56" s="22">
        <v>46050.51934027778</v>
      </c>
      <c r="C56" s="1" t="s">
        <v>25</v>
      </c>
      <c r="D56" s="3" t="s">
        <v>26</v>
      </c>
      <c r="E56" s="3" t="s">
        <v>26</v>
      </c>
      <c r="F56" s="3" t="s">
        <v>27</v>
      </c>
      <c r="G56" s="3">
        <v>1137349</v>
      </c>
      <c r="H56" s="19">
        <v>6.125</v>
      </c>
      <c r="I56" s="3" t="s">
        <v>114</v>
      </c>
      <c r="J56" s="3" t="s">
        <v>19</v>
      </c>
      <c r="K56" s="3">
        <v>13970794</v>
      </c>
      <c r="L56" s="11">
        <f>WORKDAY.INTL(
    INT(TblPlanner[[#This Row],[CompletionTime]]),
    IF(AND(TblPlanner[[#This Row],[Business Unit]]="UR Rental - Sperry", TblPlanner[[#This Row],[New / Repair]]="Repair"), 4, 6),
    7
)</f>
        <v>46058</v>
      </c>
      <c r="M56" s="11"/>
      <c r="N56" s="11"/>
      <c r="O56" s="3" t="s">
        <v>115</v>
      </c>
    </row>
    <row r="57" spans="1:15">
      <c r="A57" s="3">
        <v>213</v>
      </c>
      <c r="B57" s="22">
        <v>46050.519733796296</v>
      </c>
      <c r="C57" s="1" t="s">
        <v>25</v>
      </c>
      <c r="D57" s="3" t="s">
        <v>26</v>
      </c>
      <c r="E57" s="3" t="s">
        <v>26</v>
      </c>
      <c r="F57" s="3" t="s">
        <v>27</v>
      </c>
      <c r="G57" s="3">
        <v>1137349</v>
      </c>
      <c r="H57" s="19">
        <v>6.125</v>
      </c>
      <c r="I57" s="3" t="s">
        <v>114</v>
      </c>
      <c r="J57" s="3" t="s">
        <v>19</v>
      </c>
      <c r="K57" s="3">
        <v>13807902</v>
      </c>
      <c r="L57" s="11">
        <f>WORKDAY.INTL(
    INT(TblPlanner[[#This Row],[CompletionTime]]),
    IF(AND(TblPlanner[[#This Row],[Business Unit]]="UR Rental - Sperry", TblPlanner[[#This Row],[New / Repair]]="Repair"), 4, 6),
    7
)</f>
        <v>46058</v>
      </c>
      <c r="M57" s="11"/>
      <c r="N57" s="11"/>
      <c r="O57" s="3" t="s">
        <v>116</v>
      </c>
    </row>
    <row r="58" spans="1:15">
      <c r="A58" s="32">
        <v>215</v>
      </c>
      <c r="B58" s="33">
        <v>46054.238495370373</v>
      </c>
      <c r="C58" s="34" t="s">
        <v>25</v>
      </c>
      <c r="D58" s="35" t="s">
        <v>26</v>
      </c>
      <c r="E58" s="35" t="s">
        <v>26</v>
      </c>
      <c r="F58" s="35" t="s">
        <v>27</v>
      </c>
      <c r="G58" s="35" t="s">
        <v>74</v>
      </c>
      <c r="H58" s="36">
        <v>12</v>
      </c>
      <c r="I58" s="35" t="s">
        <v>67</v>
      </c>
      <c r="J58" s="35" t="s">
        <v>19</v>
      </c>
      <c r="K58" s="35">
        <v>13719634</v>
      </c>
      <c r="L58" s="37">
        <f>WORKDAY.INTL(
    INT(TblPlanner[[#This Row],[CompletionTime]]),
    IF(AND(TblPlanner[[#This Row],[Business Unit]]="UR Rental - Sperry", TblPlanner[[#This Row],[New / Repair]]="Repair"), 4, 6),
    7
)</f>
        <v>46062</v>
      </c>
      <c r="M58" s="37"/>
      <c r="N58" s="37"/>
      <c r="O58" s="3" t="s">
        <v>117</v>
      </c>
    </row>
    <row r="59" spans="1:15">
      <c r="A59" s="3">
        <v>216</v>
      </c>
      <c r="B59" s="22">
        <v>46054.239178240743</v>
      </c>
      <c r="C59" s="1" t="s">
        <v>25</v>
      </c>
      <c r="D59" s="3" t="s">
        <v>26</v>
      </c>
      <c r="E59" s="3" t="s">
        <v>26</v>
      </c>
      <c r="F59" s="3" t="s">
        <v>27</v>
      </c>
      <c r="G59" s="3">
        <v>1005462</v>
      </c>
      <c r="H59" s="19">
        <v>12</v>
      </c>
      <c r="I59" s="3" t="s">
        <v>67</v>
      </c>
      <c r="J59" s="3" t="s">
        <v>19</v>
      </c>
      <c r="K59" s="3" t="s">
        <v>118</v>
      </c>
      <c r="L59" s="11">
        <f>WORKDAY.INTL(
    INT(TblPlanner[[#This Row],[CompletionTime]]),
    IF(AND(TblPlanner[[#This Row],[Business Unit]]="UR Rental - Sperry", TblPlanner[[#This Row],[New / Repair]]="Repair"), 4, 6),
    7
)</f>
        <v>46062</v>
      </c>
      <c r="M59" s="11"/>
      <c r="N59" s="11"/>
      <c r="O59" s="3" t="s">
        <v>119</v>
      </c>
    </row>
    <row r="60" spans="1:15">
      <c r="A60" s="3">
        <v>217</v>
      </c>
      <c r="B60" s="22">
        <v>46054.24077546296</v>
      </c>
      <c r="C60" s="1" t="s">
        <v>25</v>
      </c>
      <c r="D60" s="3" t="s">
        <v>26</v>
      </c>
      <c r="E60" s="3" t="s">
        <v>26</v>
      </c>
      <c r="F60" s="3" t="s">
        <v>27</v>
      </c>
      <c r="G60" s="3">
        <v>1134806</v>
      </c>
      <c r="H60" s="19">
        <v>12</v>
      </c>
      <c r="I60" s="3" t="s">
        <v>72</v>
      </c>
      <c r="J60" s="3" t="s">
        <v>19</v>
      </c>
      <c r="K60" s="3">
        <v>13739180</v>
      </c>
      <c r="L60" s="11">
        <f>WORKDAY.INTL(
    INT(TblPlanner[[#This Row],[CompletionTime]]),
    IF(AND(TblPlanner[[#This Row],[Business Unit]]="UR Rental - Sperry", TblPlanner[[#This Row],[New / Repair]]="Repair"), 4, 6),
    7
)</f>
        <v>46062</v>
      </c>
      <c r="M60" s="11"/>
      <c r="N60" s="11"/>
      <c r="O60" s="3" t="s">
        <v>120</v>
      </c>
    </row>
    <row r="61" spans="1:15">
      <c r="A61" s="3">
        <v>224</v>
      </c>
      <c r="B61" s="22">
        <v>46057.413124999999</v>
      </c>
      <c r="C61" s="1" t="s">
        <v>31</v>
      </c>
      <c r="D61" s="3" t="s">
        <v>44</v>
      </c>
      <c r="E61" s="3" t="s">
        <v>44</v>
      </c>
      <c r="F61" s="3" t="s">
        <v>45</v>
      </c>
      <c r="G61" s="3">
        <v>1276939</v>
      </c>
      <c r="H61" s="19">
        <v>8.5</v>
      </c>
      <c r="I61" s="3" t="s">
        <v>38</v>
      </c>
      <c r="J61" s="3" t="s">
        <v>19</v>
      </c>
      <c r="K61" s="3" t="s">
        <v>121</v>
      </c>
      <c r="L61" s="11">
        <f>WORKDAY.INTL(
    INT(TblPlanner[[#This Row],[CompletionTime]]),
    IF(AND(TblPlanner[[#This Row],[Business Unit]]="UR Rental - Sperry", TblPlanner[[#This Row],[New / Repair]]="Repair"), 4, 6),
    7
)</f>
        <v>46063</v>
      </c>
      <c r="M61" s="11"/>
      <c r="N61" s="11"/>
      <c r="O61" s="3"/>
    </row>
    <row r="62" spans="1:15">
      <c r="A62" s="3">
        <v>226</v>
      </c>
      <c r="B62" s="22">
        <v>46058.381319444445</v>
      </c>
      <c r="C62" s="1" t="s">
        <v>15</v>
      </c>
      <c r="D62" s="3" t="s">
        <v>16</v>
      </c>
      <c r="E62" s="3" t="s">
        <v>16</v>
      </c>
      <c r="F62" s="3" t="s">
        <v>17</v>
      </c>
      <c r="G62" s="3">
        <v>1252149</v>
      </c>
      <c r="H62" s="19">
        <v>3.875</v>
      </c>
      <c r="I62" s="3" t="s">
        <v>22</v>
      </c>
      <c r="J62" s="3" t="s">
        <v>19</v>
      </c>
      <c r="K62" s="3" t="s">
        <v>122</v>
      </c>
      <c r="L62" s="11">
        <f>WORKDAY.INTL(
    INT(TblPlanner[[#This Row],[CompletionTime]]),
    IF(AND(TblPlanner[[#This Row],[Business Unit]]="UR Rental - Sperry", TblPlanner[[#This Row],[New / Repair]]="Repair"), 4, 6),
    7
)</f>
        <v>46068</v>
      </c>
      <c r="M62" s="11"/>
      <c r="N62" s="11"/>
      <c r="O62" s="3"/>
    </row>
    <row r="63" spans="1:15">
      <c r="A63" s="3">
        <v>227</v>
      </c>
      <c r="B63" s="22">
        <v>46058.382418981484</v>
      </c>
      <c r="C63" s="1" t="s">
        <v>15</v>
      </c>
      <c r="D63" s="3" t="s">
        <v>123</v>
      </c>
      <c r="E63" s="3" t="s">
        <v>123</v>
      </c>
      <c r="F63" s="3" t="s">
        <v>17</v>
      </c>
      <c r="G63" s="3" t="s">
        <v>124</v>
      </c>
      <c r="H63" s="19">
        <v>6.125</v>
      </c>
      <c r="I63" s="3" t="s">
        <v>125</v>
      </c>
      <c r="J63" s="3" t="s">
        <v>19</v>
      </c>
      <c r="K63" s="3">
        <v>14431431</v>
      </c>
      <c r="L63" s="11">
        <f>WORKDAY.INTL(
    INT(TblPlanner[[#This Row],[CompletionTime]]),
    IF(AND(TblPlanner[[#This Row],[Business Unit]]="UR Rental - Sperry", TblPlanner[[#This Row],[New / Repair]]="Repair"), 4, 6),
    7
)</f>
        <v>46068</v>
      </c>
      <c r="M63" s="11"/>
      <c r="N63" s="11"/>
      <c r="O63" s="3"/>
    </row>
    <row r="64" spans="1:15">
      <c r="A64" s="3">
        <v>228</v>
      </c>
      <c r="B64" s="22">
        <v>46058.383321759262</v>
      </c>
      <c r="C64" s="1" t="s">
        <v>15</v>
      </c>
      <c r="D64" s="3" t="s">
        <v>16</v>
      </c>
      <c r="E64" s="3" t="s">
        <v>16</v>
      </c>
      <c r="F64" s="3" t="s">
        <v>17</v>
      </c>
      <c r="G64" s="3">
        <v>1252149</v>
      </c>
      <c r="H64" s="19">
        <v>3.875</v>
      </c>
      <c r="I64" s="3" t="s">
        <v>22</v>
      </c>
      <c r="J64" s="3" t="s">
        <v>19</v>
      </c>
      <c r="K64" s="3" t="s">
        <v>126</v>
      </c>
      <c r="L64" s="11">
        <f>WORKDAY.INTL(
    INT(TblPlanner[[#This Row],[CompletionTime]]),
    IF(AND(TblPlanner[[#This Row],[Business Unit]]="UR Rental - Sperry", TblPlanner[[#This Row],[New / Repair]]="Repair"), 4, 6),
    7
)</f>
        <v>46068</v>
      </c>
      <c r="M64" s="11"/>
      <c r="N64" s="11"/>
      <c r="O64" s="3"/>
    </row>
    <row r="65" spans="1:15">
      <c r="A65" s="3">
        <v>229</v>
      </c>
      <c r="B65" s="22">
        <v>46058.633287037039</v>
      </c>
      <c r="C65" s="1" t="s">
        <v>15</v>
      </c>
      <c r="D65" s="3" t="s">
        <v>16</v>
      </c>
      <c r="E65" s="3" t="s">
        <v>16</v>
      </c>
      <c r="F65" s="3" t="s">
        <v>17</v>
      </c>
      <c r="G65" s="3">
        <v>1251085</v>
      </c>
      <c r="H65" s="19">
        <v>6.125</v>
      </c>
      <c r="I65" s="3" t="s">
        <v>125</v>
      </c>
      <c r="J65" s="3" t="s">
        <v>19</v>
      </c>
      <c r="K65" s="3" t="s">
        <v>127</v>
      </c>
      <c r="L65" s="11">
        <f>WORKDAY.INTL(
    INT(TblPlanner[[#This Row],[CompletionTime]]),
    IF(AND(TblPlanner[[#This Row],[Business Unit]]="UR Rental - Sperry", TblPlanner[[#This Row],[New / Repair]]="Repair"), 4, 6),
    7
)</f>
        <v>46068</v>
      </c>
      <c r="M65" s="11"/>
      <c r="N65" s="11"/>
      <c r="O65" s="3"/>
    </row>
    <row r="66" spans="1:15">
      <c r="A66" s="3">
        <v>230</v>
      </c>
      <c r="B66" s="22">
        <v>46058.633946759262</v>
      </c>
      <c r="C66" s="1" t="s">
        <v>15</v>
      </c>
      <c r="D66" s="3" t="s">
        <v>16</v>
      </c>
      <c r="E66" s="3" t="s">
        <v>16</v>
      </c>
      <c r="F66" s="3" t="s">
        <v>17</v>
      </c>
      <c r="G66" s="3">
        <v>1145824</v>
      </c>
      <c r="H66" s="19">
        <v>6.125</v>
      </c>
      <c r="I66" s="3" t="s">
        <v>18</v>
      </c>
      <c r="J66" s="3" t="s">
        <v>19</v>
      </c>
      <c r="K66" s="3" t="s">
        <v>128</v>
      </c>
      <c r="L66" s="11">
        <f>WORKDAY.INTL(
    INT(TblPlanner[[#This Row],[CompletionTime]]),
    IF(AND(TblPlanner[[#This Row],[Business Unit]]="UR Rental - Sperry", TblPlanner[[#This Row],[New / Repair]]="Repair"), 4, 6),
    7
)</f>
        <v>46068</v>
      </c>
      <c r="M66" s="11"/>
      <c r="N66" s="11"/>
      <c r="O66" s="3"/>
    </row>
    <row r="67" spans="1:15">
      <c r="A67" s="3">
        <v>231</v>
      </c>
      <c r="B67" s="22">
        <v>46058.634641203702</v>
      </c>
      <c r="C67" s="1" t="s">
        <v>15</v>
      </c>
      <c r="D67" s="3" t="s">
        <v>16</v>
      </c>
      <c r="E67" s="3" t="s">
        <v>16</v>
      </c>
      <c r="F67" s="3" t="s">
        <v>17</v>
      </c>
      <c r="G67" s="3">
        <v>1252149</v>
      </c>
      <c r="H67" s="19">
        <v>3.875</v>
      </c>
      <c r="I67" s="3" t="s">
        <v>22</v>
      </c>
      <c r="J67" s="3" t="s">
        <v>19</v>
      </c>
      <c r="K67" s="3" t="s">
        <v>129</v>
      </c>
      <c r="L67" s="11">
        <f>WORKDAY.INTL(
    INT(TblPlanner[[#This Row],[CompletionTime]]),
    IF(AND(TblPlanner[[#This Row],[Business Unit]]="UR Rental - Sperry", TblPlanner[[#This Row],[New / Repair]]="Repair"), 4, 6),
    7
)</f>
        <v>46068</v>
      </c>
      <c r="M67" s="11"/>
      <c r="N67" s="11"/>
      <c r="O67" s="3"/>
    </row>
  </sheetData>
  <phoneticPr fontId="4" type="noConversion"/>
  <pageMargins left="0.7" right="0.7" top="0.75" bottom="0.75" header="0.3" footer="0.3"/>
  <pageSetup paperSize="9" fitToHeight="0"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448B8-A32B-4304-A6F1-B1CC887541F8}">
  <dimension ref="A1:O139"/>
  <sheetViews>
    <sheetView workbookViewId="0">
      <pane ySplit="1" topLeftCell="N134" activePane="bottomLeft" state="frozen"/>
      <selection pane="bottomLeft" activeCell="A139" sqref="A139:O139"/>
    </sheetView>
  </sheetViews>
  <sheetFormatPr defaultRowHeight="15"/>
  <cols>
    <col min="1" max="1" width="11.28515625" bestFit="1" customWidth="1"/>
    <col min="2" max="2" width="16" bestFit="1" customWidth="1"/>
    <col min="3" max="3" width="5.85546875" bestFit="1" customWidth="1"/>
    <col min="4" max="4" width="6.28515625" bestFit="1" customWidth="1"/>
    <col min="5" max="5" width="15.7109375" style="18" bestFit="1" customWidth="1"/>
    <col min="6" max="6" width="13.140625" style="18" bestFit="1" customWidth="1"/>
    <col min="7" max="7" width="12.85546875" style="18" bestFit="1" customWidth="1"/>
    <col min="8" max="8" width="7.42578125" style="18" bestFit="1" customWidth="1"/>
    <col min="9" max="9" width="11.5703125" style="18" customWidth="1"/>
    <col min="10" max="10" width="12.5703125" style="18" bestFit="1" customWidth="1"/>
    <col min="11" max="11" width="26.7109375" style="18" bestFit="1" customWidth="1"/>
    <col min="12" max="12" width="11.42578125" style="18" bestFit="1" customWidth="1"/>
    <col min="13" max="13" width="12.5703125" style="18" bestFit="1" customWidth="1"/>
    <col min="14" max="14" width="17.5703125" style="18" bestFit="1" customWidth="1"/>
    <col min="15" max="15" width="32.140625" style="18" bestFit="1" customWidth="1"/>
  </cols>
  <sheetData>
    <row r="1" spans="1:15">
      <c r="A1" s="4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26" t="s">
        <v>11</v>
      </c>
      <c r="M1" s="27" t="s">
        <v>12</v>
      </c>
      <c r="N1" s="27" t="s">
        <v>13</v>
      </c>
      <c r="O1" s="28" t="s">
        <v>130</v>
      </c>
    </row>
    <row r="2" spans="1:15">
      <c r="A2" s="7">
        <v>13</v>
      </c>
      <c r="B2" s="8">
        <v>45965.44902777778</v>
      </c>
      <c r="C2" s="9" t="s">
        <v>131</v>
      </c>
      <c r="D2" s="9" t="s">
        <v>132</v>
      </c>
      <c r="E2" s="10" t="s">
        <v>132</v>
      </c>
      <c r="F2" s="10" t="s">
        <v>66</v>
      </c>
      <c r="G2" s="10">
        <v>1281273</v>
      </c>
      <c r="H2" s="20">
        <v>5.875</v>
      </c>
      <c r="I2" s="10" t="s">
        <v>133</v>
      </c>
      <c r="J2" s="10" t="s">
        <v>134</v>
      </c>
      <c r="K2" s="10">
        <v>14214806</v>
      </c>
      <c r="L2" s="12">
        <f>WORKDAY.INTL(INT(TblPlanner[[#This Row],[CompletionTime]]), 6, 7)</f>
        <v>46047</v>
      </c>
      <c r="M2" s="10"/>
      <c r="N2" s="10"/>
      <c r="O2" s="10"/>
    </row>
    <row r="3" spans="1:15">
      <c r="A3" s="7">
        <v>14</v>
      </c>
      <c r="B3" s="8">
        <v>45965.456666666665</v>
      </c>
      <c r="C3" s="9" t="s">
        <v>31</v>
      </c>
      <c r="D3" s="9" t="s">
        <v>44</v>
      </c>
      <c r="E3" s="10" t="s">
        <v>44</v>
      </c>
      <c r="F3" s="10" t="s">
        <v>33</v>
      </c>
      <c r="G3" s="10">
        <v>1276939</v>
      </c>
      <c r="H3" s="20">
        <v>8.5</v>
      </c>
      <c r="I3" s="10" t="s">
        <v>38</v>
      </c>
      <c r="J3" s="10" t="s">
        <v>35</v>
      </c>
      <c r="K3" s="10">
        <v>14414030</v>
      </c>
      <c r="L3" s="12">
        <f>WORKDAY.INTL(INT(TblPlanner[[#This Row],[CompletionTime]]), 6, 7)</f>
        <v>46048</v>
      </c>
      <c r="M3" s="12">
        <v>45972</v>
      </c>
      <c r="N3" s="12"/>
      <c r="O3" s="12"/>
    </row>
    <row r="4" spans="1:15">
      <c r="A4" s="7">
        <v>15</v>
      </c>
      <c r="B4" s="8">
        <v>45965.457326388889</v>
      </c>
      <c r="C4" s="9" t="s">
        <v>31</v>
      </c>
      <c r="D4" s="9" t="s">
        <v>44</v>
      </c>
      <c r="E4" s="10" t="s">
        <v>44</v>
      </c>
      <c r="F4" s="10" t="s">
        <v>33</v>
      </c>
      <c r="G4" s="10">
        <v>1276939</v>
      </c>
      <c r="H4" s="20">
        <v>8.5</v>
      </c>
      <c r="I4" s="10" t="s">
        <v>38</v>
      </c>
      <c r="J4" s="10" t="s">
        <v>35</v>
      </c>
      <c r="K4" s="10">
        <v>14414032</v>
      </c>
      <c r="L4" s="12">
        <f>WORKDAY.INTL(INT(TblPlanner[[#This Row],[CompletionTime]]), 6, 7)</f>
        <v>46048</v>
      </c>
      <c r="M4" s="12">
        <v>45978</v>
      </c>
      <c r="N4" s="12"/>
      <c r="O4" s="12"/>
    </row>
    <row r="5" spans="1:15">
      <c r="A5" s="7">
        <v>24</v>
      </c>
      <c r="B5" s="8">
        <v>45966.419224537036</v>
      </c>
      <c r="C5" s="9" t="s">
        <v>40</v>
      </c>
      <c r="D5" s="9" t="s">
        <v>41</v>
      </c>
      <c r="E5" s="10" t="s">
        <v>41</v>
      </c>
      <c r="F5" s="10" t="s">
        <v>135</v>
      </c>
      <c r="G5" s="10">
        <v>2000401</v>
      </c>
      <c r="H5" s="20">
        <v>16</v>
      </c>
      <c r="I5" s="10" t="s">
        <v>136</v>
      </c>
      <c r="J5" s="10" t="s">
        <v>35</v>
      </c>
      <c r="K5" s="10">
        <v>14425802</v>
      </c>
      <c r="L5" s="12">
        <f>WORKDAY.INTL(INT(TblPlanner[[#This Row],[CompletionTime]]), 6, 7)</f>
        <v>46058</v>
      </c>
      <c r="M5" s="12">
        <v>45984</v>
      </c>
      <c r="N5" s="12"/>
      <c r="O5" s="12"/>
    </row>
    <row r="6" spans="1:15">
      <c r="A6" s="7">
        <v>25</v>
      </c>
      <c r="B6" s="8">
        <v>45967.336296296293</v>
      </c>
      <c r="C6" s="9" t="s">
        <v>31</v>
      </c>
      <c r="D6" s="9" t="s">
        <v>137</v>
      </c>
      <c r="E6" s="10" t="s">
        <v>137</v>
      </c>
      <c r="F6" s="10" t="s">
        <v>45</v>
      </c>
      <c r="G6" s="10">
        <v>1276939</v>
      </c>
      <c r="H6" s="20">
        <v>8.5</v>
      </c>
      <c r="I6" s="10" t="s">
        <v>38</v>
      </c>
      <c r="J6" s="10" t="s">
        <v>19</v>
      </c>
      <c r="K6" s="10" t="s">
        <v>138</v>
      </c>
      <c r="L6" s="12">
        <f>WORKDAY.INTL(INT(TblPlanner[[#This Row],[CompletionTime]]), 6, 7)</f>
        <v>46048</v>
      </c>
      <c r="M6" s="10"/>
      <c r="N6" s="10"/>
      <c r="O6" s="10"/>
    </row>
    <row r="7" spans="1:15">
      <c r="A7" s="7">
        <v>27</v>
      </c>
      <c r="B7" s="8">
        <v>45970.558159722219</v>
      </c>
      <c r="C7" s="9" t="s">
        <v>64</v>
      </c>
      <c r="D7" s="9" t="s">
        <v>139</v>
      </c>
      <c r="E7" s="10" t="s">
        <v>139</v>
      </c>
      <c r="F7" s="10" t="s">
        <v>66</v>
      </c>
      <c r="G7" s="10" t="s">
        <v>140</v>
      </c>
      <c r="H7" s="20">
        <v>8.375</v>
      </c>
      <c r="I7" s="10" t="s">
        <v>72</v>
      </c>
      <c r="J7" s="10" t="s">
        <v>54</v>
      </c>
      <c r="K7" s="10">
        <v>14160195</v>
      </c>
      <c r="L7" s="12">
        <f>WORKDAY.INTL(INT(TblPlanner[[#This Row],[CompletionTime]]), 6, 7)</f>
        <v>46058</v>
      </c>
      <c r="M7" s="12">
        <v>45978</v>
      </c>
      <c r="N7" s="12"/>
      <c r="O7" s="12"/>
    </row>
    <row r="8" spans="1:15">
      <c r="A8" s="7">
        <v>28</v>
      </c>
      <c r="B8" s="8">
        <v>45971.314976851849</v>
      </c>
      <c r="C8" s="9" t="s">
        <v>141</v>
      </c>
      <c r="D8" s="9" t="s">
        <v>142</v>
      </c>
      <c r="E8" s="10" t="s">
        <v>142</v>
      </c>
      <c r="F8" s="10" t="s">
        <v>33</v>
      </c>
      <c r="G8" s="10">
        <v>1272920</v>
      </c>
      <c r="H8" s="20">
        <v>8.375</v>
      </c>
      <c r="I8" s="10" t="s">
        <v>143</v>
      </c>
      <c r="J8" s="10" t="s">
        <v>35</v>
      </c>
      <c r="K8" s="10">
        <v>14462147</v>
      </c>
      <c r="L8" s="12">
        <f>WORKDAY.INTL(INT(TblPlanner[[#This Row],[CompletionTime]]), 6, 7)</f>
        <v>46058</v>
      </c>
      <c r="M8" s="12">
        <v>45979</v>
      </c>
      <c r="N8" s="12"/>
      <c r="O8" s="12"/>
    </row>
    <row r="9" spans="1:15">
      <c r="A9" s="7">
        <v>30</v>
      </c>
      <c r="B9" s="8">
        <v>45973.607881944445</v>
      </c>
      <c r="C9" s="9" t="s">
        <v>15</v>
      </c>
      <c r="D9" s="9" t="s">
        <v>16</v>
      </c>
      <c r="E9" s="10" t="s">
        <v>16</v>
      </c>
      <c r="F9" s="10" t="s">
        <v>17</v>
      </c>
      <c r="G9" s="10">
        <v>1145824</v>
      </c>
      <c r="H9" s="20">
        <v>6.125</v>
      </c>
      <c r="I9" s="10" t="s">
        <v>144</v>
      </c>
      <c r="J9" s="10" t="s">
        <v>35</v>
      </c>
      <c r="K9" s="3">
        <v>14431432</v>
      </c>
      <c r="L9" s="12">
        <f>WORKDAY.INTL(INT(TblPlanner[[#This Row],[CompletionTime]]), 6, 7)</f>
        <v>46055</v>
      </c>
      <c r="M9" s="12">
        <v>45981</v>
      </c>
      <c r="N9" s="12"/>
      <c r="O9" s="12"/>
    </row>
    <row r="10" spans="1:15">
      <c r="A10" s="1">
        <v>32</v>
      </c>
      <c r="B10" s="2">
        <v>45973.610798611109</v>
      </c>
      <c r="C10" s="1" t="s">
        <v>15</v>
      </c>
      <c r="D10" s="1" t="s">
        <v>16</v>
      </c>
      <c r="E10" s="3" t="s">
        <v>16</v>
      </c>
      <c r="F10" s="3" t="s">
        <v>17</v>
      </c>
      <c r="G10" s="3">
        <v>2027359</v>
      </c>
      <c r="H10" s="19">
        <v>6</v>
      </c>
      <c r="I10" s="10" t="s">
        <v>145</v>
      </c>
      <c r="J10" s="3" t="s">
        <v>35</v>
      </c>
      <c r="K10" s="3">
        <v>14462462</v>
      </c>
      <c r="L10" s="11">
        <f>WORKDAY.INTL(INT(TblPlanner[[#This Row],[CompletionTime]]), 6, 7)</f>
        <v>46058</v>
      </c>
      <c r="M10" s="11">
        <v>45984</v>
      </c>
      <c r="N10" s="11"/>
      <c r="O10" s="11"/>
    </row>
    <row r="11" spans="1:15">
      <c r="A11" s="1">
        <v>34</v>
      </c>
      <c r="B11" s="2">
        <v>45973.612407407411</v>
      </c>
      <c r="C11" s="1" t="s">
        <v>15</v>
      </c>
      <c r="D11" s="1" t="s">
        <v>16</v>
      </c>
      <c r="E11" s="3" t="s">
        <v>16</v>
      </c>
      <c r="F11" s="3" t="s">
        <v>17</v>
      </c>
      <c r="G11" s="3">
        <v>1251085</v>
      </c>
      <c r="H11" s="19">
        <v>6.125</v>
      </c>
      <c r="I11" s="10" t="s">
        <v>125</v>
      </c>
      <c r="J11" s="3" t="s">
        <v>19</v>
      </c>
      <c r="K11" s="3" t="s">
        <v>146</v>
      </c>
      <c r="L11" s="11">
        <f>WORKDAY.INTL(INT(TblPlanner[[#This Row],[CompletionTime]]), 6, 7)</f>
        <v>46058</v>
      </c>
      <c r="M11" s="11">
        <v>45981</v>
      </c>
      <c r="N11" s="11"/>
      <c r="O11" s="11"/>
    </row>
    <row r="12" spans="1:15">
      <c r="A12" s="1">
        <v>47</v>
      </c>
      <c r="B12" s="2">
        <v>45985.422349537039</v>
      </c>
      <c r="C12" s="1" t="s">
        <v>141</v>
      </c>
      <c r="D12" s="1" t="s">
        <v>142</v>
      </c>
      <c r="E12" s="3" t="s">
        <v>142</v>
      </c>
      <c r="F12" s="3" t="s">
        <v>33</v>
      </c>
      <c r="G12" s="3">
        <v>1267027</v>
      </c>
      <c r="H12" s="19">
        <v>8.375</v>
      </c>
      <c r="I12" s="10" t="s">
        <v>87</v>
      </c>
      <c r="J12" s="3" t="s">
        <v>35</v>
      </c>
      <c r="K12" s="3">
        <v>14426681</v>
      </c>
      <c r="L12" s="11">
        <f>WORKDAY.INTL(INT(TblPlanner[[#This Row],[CompletionTime]]), 6, 7)</f>
        <v>46058</v>
      </c>
      <c r="M12" s="11">
        <v>45986</v>
      </c>
      <c r="N12" s="11"/>
      <c r="O12" s="11"/>
    </row>
    <row r="13" spans="1:15">
      <c r="A13" s="1">
        <v>56</v>
      </c>
      <c r="B13" s="2">
        <v>45988.4531712963</v>
      </c>
      <c r="C13" s="1" t="s">
        <v>147</v>
      </c>
      <c r="D13" s="1" t="s">
        <v>148</v>
      </c>
      <c r="E13" s="3" t="s">
        <v>148</v>
      </c>
      <c r="F13" s="3" t="s">
        <v>17</v>
      </c>
      <c r="G13" s="3">
        <v>1137349</v>
      </c>
      <c r="H13" s="19">
        <v>6.125</v>
      </c>
      <c r="I13" s="3" t="s">
        <v>125</v>
      </c>
      <c r="J13" s="3" t="s">
        <v>19</v>
      </c>
      <c r="K13" s="3">
        <v>14304769</v>
      </c>
      <c r="L13" s="11">
        <f>WORKDAY.INTL(INT(TblPlanner[[#This Row],[CompletionTime]]), 6, 7)</f>
        <v>46058</v>
      </c>
      <c r="M13" s="3"/>
      <c r="N13" s="3"/>
      <c r="O13" s="3"/>
    </row>
    <row r="14" spans="1:15">
      <c r="A14" s="7">
        <v>39</v>
      </c>
      <c r="B14" s="8">
        <v>45974.490393518521</v>
      </c>
      <c r="C14" s="9" t="s">
        <v>15</v>
      </c>
      <c r="D14" s="9" t="s">
        <v>16</v>
      </c>
      <c r="E14" s="10" t="s">
        <v>16</v>
      </c>
      <c r="F14" s="10" t="s">
        <v>17</v>
      </c>
      <c r="G14" s="10">
        <v>1252149</v>
      </c>
      <c r="H14" s="20">
        <v>3.875</v>
      </c>
      <c r="I14" s="10" t="s">
        <v>22</v>
      </c>
      <c r="J14" s="10" t="s">
        <v>19</v>
      </c>
      <c r="K14" s="10" t="s">
        <v>149</v>
      </c>
      <c r="L14" s="12">
        <f>WORKDAY.INTL(INT(TblPlanner[[#This Row],[CompletionTime]]), 6, 7)</f>
        <v>46058</v>
      </c>
      <c r="M14" s="12">
        <v>45986</v>
      </c>
      <c r="N14" s="12"/>
      <c r="O14" s="29"/>
    </row>
    <row r="15" spans="1:15">
      <c r="A15" s="7">
        <v>55</v>
      </c>
      <c r="B15" s="8">
        <v>45988.452615740738</v>
      </c>
      <c r="C15" s="9" t="s">
        <v>147</v>
      </c>
      <c r="D15" s="9" t="s">
        <v>16</v>
      </c>
      <c r="E15" s="10" t="s">
        <v>148</v>
      </c>
      <c r="F15" s="10" t="s">
        <v>17</v>
      </c>
      <c r="G15" s="10">
        <v>1137349</v>
      </c>
      <c r="H15" s="20">
        <v>6.125</v>
      </c>
      <c r="I15" s="10" t="s">
        <v>125</v>
      </c>
      <c r="J15" s="10" t="s">
        <v>19</v>
      </c>
      <c r="K15" s="10" t="s">
        <v>150</v>
      </c>
      <c r="L15" s="12">
        <f>WORKDAY.INTL(INT(TblPlanner[[#This Row],[CompletionTime]]), 6, 7)</f>
        <v>46062</v>
      </c>
      <c r="M15" s="10"/>
      <c r="N15" s="10"/>
      <c r="O15" s="21"/>
    </row>
    <row r="16" spans="1:15">
      <c r="A16" s="7">
        <v>57</v>
      </c>
      <c r="B16" s="8">
        <v>45988.453680555554</v>
      </c>
      <c r="C16" s="9" t="s">
        <v>147</v>
      </c>
      <c r="D16" s="9" t="s">
        <v>148</v>
      </c>
      <c r="E16" s="10" t="s">
        <v>148</v>
      </c>
      <c r="F16" s="10" t="s">
        <v>17</v>
      </c>
      <c r="G16" s="10">
        <v>1137349</v>
      </c>
      <c r="H16" s="20">
        <v>6.125</v>
      </c>
      <c r="I16" s="10" t="s">
        <v>125</v>
      </c>
      <c r="J16" s="10" t="s">
        <v>19</v>
      </c>
      <c r="K16" s="10" t="s">
        <v>151</v>
      </c>
      <c r="L16" s="12">
        <f>WORKDAY.INTL(INT(TblPlanner[[#This Row],[CompletionTime]]), 6, 7)</f>
        <v>46062</v>
      </c>
      <c r="M16" s="10"/>
      <c r="N16" s="10"/>
      <c r="O16" s="21"/>
    </row>
    <row r="17" spans="1:15">
      <c r="A17" s="7">
        <v>16</v>
      </c>
      <c r="B17" s="8">
        <v>45965.465960648151</v>
      </c>
      <c r="C17" s="9" t="s">
        <v>31</v>
      </c>
      <c r="D17" s="9" t="s">
        <v>152</v>
      </c>
      <c r="E17" s="10" t="s">
        <v>152</v>
      </c>
      <c r="F17" s="10" t="s">
        <v>45</v>
      </c>
      <c r="G17" s="10">
        <v>1276939</v>
      </c>
      <c r="H17" s="20">
        <v>8.5</v>
      </c>
      <c r="I17" s="10" t="s">
        <v>38</v>
      </c>
      <c r="J17" s="10" t="s">
        <v>19</v>
      </c>
      <c r="K17" s="10" t="s">
        <v>153</v>
      </c>
      <c r="L17" s="12">
        <f>WORKDAY.INTL(INT(TblPlanner[[#This Row],[CompletionTime]]), 6, 7)</f>
        <v>46062</v>
      </c>
      <c r="M17" s="10"/>
      <c r="N17" s="10"/>
      <c r="O17" s="21" t="s">
        <v>154</v>
      </c>
    </row>
    <row r="18" spans="1:15">
      <c r="A18" s="7">
        <v>35</v>
      </c>
      <c r="B18" s="8">
        <v>45973.613043981481</v>
      </c>
      <c r="C18" s="9" t="s">
        <v>15</v>
      </c>
      <c r="D18" s="9" t="s">
        <v>16</v>
      </c>
      <c r="E18" s="10" t="s">
        <v>16</v>
      </c>
      <c r="F18" s="10" t="s">
        <v>17</v>
      </c>
      <c r="G18" s="10" t="s">
        <v>124</v>
      </c>
      <c r="H18" s="20">
        <v>6.125</v>
      </c>
      <c r="I18" s="10" t="s">
        <v>125</v>
      </c>
      <c r="J18" s="10" t="s">
        <v>54</v>
      </c>
      <c r="K18" s="10" t="s">
        <v>155</v>
      </c>
      <c r="L18" s="12">
        <f>WORKDAY.INTL(INT(TblPlanner[[#This Row],[CompletionTime]]), 6, 7)</f>
        <v>46047</v>
      </c>
      <c r="M18" s="12">
        <v>45984</v>
      </c>
      <c r="N18" s="12"/>
      <c r="O18" s="21" t="s">
        <v>154</v>
      </c>
    </row>
    <row r="19" spans="1:15">
      <c r="A19" s="7">
        <v>12</v>
      </c>
      <c r="B19" s="8">
        <v>45965.428946759261</v>
      </c>
      <c r="C19" s="9" t="s">
        <v>15</v>
      </c>
      <c r="D19" s="9" t="s">
        <v>156</v>
      </c>
      <c r="E19" s="10" t="s">
        <v>156</v>
      </c>
      <c r="F19" s="10" t="s">
        <v>17</v>
      </c>
      <c r="G19" s="10">
        <v>1251085</v>
      </c>
      <c r="H19" s="20">
        <v>6.125</v>
      </c>
      <c r="I19" s="10" t="s">
        <v>125</v>
      </c>
      <c r="J19" s="10" t="s">
        <v>19</v>
      </c>
      <c r="K19" s="10" t="s">
        <v>157</v>
      </c>
      <c r="L19" s="12">
        <f>WORKDAY.INTL(INT(TblPlanner[[#This Row],[CompletionTime]]), 6, 7)</f>
        <v>46058</v>
      </c>
      <c r="M19" s="10"/>
      <c r="N19" s="10"/>
      <c r="O19" s="21"/>
    </row>
    <row r="20" spans="1:15">
      <c r="A20" s="7">
        <v>36</v>
      </c>
      <c r="B20" s="8">
        <v>45973.613599537035</v>
      </c>
      <c r="C20" s="9" t="s">
        <v>15</v>
      </c>
      <c r="D20" s="9" t="s">
        <v>16</v>
      </c>
      <c r="E20" s="10" t="s">
        <v>16</v>
      </c>
      <c r="F20" s="10" t="s">
        <v>17</v>
      </c>
      <c r="G20" s="10">
        <v>2020054</v>
      </c>
      <c r="H20" s="20">
        <v>6.125</v>
      </c>
      <c r="I20" s="10" t="s">
        <v>158</v>
      </c>
      <c r="J20" s="10" t="s">
        <v>19</v>
      </c>
      <c r="K20" s="10">
        <v>14337193</v>
      </c>
      <c r="L20" s="12">
        <f>WORKDAY.INTL(INT(TblPlanner[[#This Row],[CompletionTime]]), 6, 7)</f>
        <v>46058</v>
      </c>
      <c r="M20" s="12"/>
      <c r="N20" s="12"/>
      <c r="O20" s="29"/>
    </row>
    <row r="21" spans="1:15">
      <c r="A21" s="7">
        <v>37</v>
      </c>
      <c r="B21" s="8">
        <v>45973.614074074074</v>
      </c>
      <c r="C21" s="9" t="s">
        <v>15</v>
      </c>
      <c r="D21" s="9" t="s">
        <v>16</v>
      </c>
      <c r="E21" s="10" t="s">
        <v>16</v>
      </c>
      <c r="F21" s="10" t="s">
        <v>17</v>
      </c>
      <c r="G21" s="10" t="s">
        <v>124</v>
      </c>
      <c r="H21" s="20">
        <v>6.125</v>
      </c>
      <c r="I21" s="10" t="s">
        <v>125</v>
      </c>
      <c r="J21" s="10" t="s">
        <v>19</v>
      </c>
      <c r="K21" s="10" t="s">
        <v>159</v>
      </c>
      <c r="L21" s="12">
        <f>WORKDAY.INTL(INT(TblPlanner[[#This Row],[CompletionTime]]), 6, 7)</f>
        <v>46048</v>
      </c>
      <c r="M21" s="12"/>
      <c r="N21" s="12"/>
      <c r="O21" s="29"/>
    </row>
    <row r="22" spans="1:15">
      <c r="A22" s="7">
        <v>38</v>
      </c>
      <c r="B22" s="8">
        <v>45973.614699074074</v>
      </c>
      <c r="C22" s="9" t="s">
        <v>15</v>
      </c>
      <c r="D22" s="9" t="s">
        <v>16</v>
      </c>
      <c r="E22" s="10" t="s">
        <v>16</v>
      </c>
      <c r="F22" s="10" t="s">
        <v>17</v>
      </c>
      <c r="G22" s="10">
        <v>1252149</v>
      </c>
      <c r="H22" s="20">
        <v>3.875</v>
      </c>
      <c r="I22" s="10" t="s">
        <v>22</v>
      </c>
      <c r="J22" s="10" t="s">
        <v>19</v>
      </c>
      <c r="K22" s="10" t="s">
        <v>160</v>
      </c>
      <c r="L22" s="12">
        <f>WORKDAY.INTL(INT(TblPlanner[[#This Row],[CompletionTime]]), 6, 7)</f>
        <v>46058</v>
      </c>
      <c r="M22" s="12"/>
      <c r="N22" s="12"/>
      <c r="O22" s="29"/>
    </row>
    <row r="23" spans="1:15">
      <c r="A23" s="7">
        <v>41</v>
      </c>
      <c r="B23" s="8">
        <v>45978.399155092593</v>
      </c>
      <c r="C23" s="9" t="s">
        <v>161</v>
      </c>
      <c r="D23" s="9" t="s">
        <v>44</v>
      </c>
      <c r="E23" s="10" t="s">
        <v>44</v>
      </c>
      <c r="F23" s="10" t="s">
        <v>45</v>
      </c>
      <c r="G23" s="10">
        <v>1267829</v>
      </c>
      <c r="H23" s="20">
        <v>8.5</v>
      </c>
      <c r="I23" s="10" t="s">
        <v>162</v>
      </c>
      <c r="J23" s="10" t="s">
        <v>19</v>
      </c>
      <c r="K23" s="10" t="s">
        <v>163</v>
      </c>
      <c r="L23" s="12">
        <f>WORKDAY.INTL(INT(TblPlanner[[#This Row],[CompletionTime]]), 6, 7)</f>
        <v>46058</v>
      </c>
      <c r="M23" s="12"/>
      <c r="N23" s="12"/>
      <c r="O23" s="29"/>
    </row>
    <row r="24" spans="1:15">
      <c r="A24" s="7">
        <v>45</v>
      </c>
      <c r="B24" s="8">
        <v>45981.224270833336</v>
      </c>
      <c r="C24" s="9" t="s">
        <v>64</v>
      </c>
      <c r="D24" s="9" t="s">
        <v>164</v>
      </c>
      <c r="E24" s="10" t="s">
        <v>164</v>
      </c>
      <c r="F24" s="10" t="s">
        <v>66</v>
      </c>
      <c r="G24" s="10">
        <v>2025595</v>
      </c>
      <c r="H24" s="20">
        <v>3.625</v>
      </c>
      <c r="I24" s="10" t="s">
        <v>165</v>
      </c>
      <c r="J24" s="10" t="s">
        <v>35</v>
      </c>
      <c r="K24" s="10">
        <v>14459843</v>
      </c>
      <c r="L24" s="12">
        <f>WORKDAY.INTL(INT(TblPlanner[[#This Row],[CompletionTime]]), 6, 7)</f>
        <v>46058</v>
      </c>
      <c r="M24" s="12">
        <v>45986</v>
      </c>
      <c r="N24" s="12"/>
      <c r="O24" s="29"/>
    </row>
    <row r="25" spans="1:15">
      <c r="A25" s="7">
        <v>46</v>
      </c>
      <c r="B25" s="8">
        <v>45984.415358796294</v>
      </c>
      <c r="C25" s="9" t="s">
        <v>31</v>
      </c>
      <c r="D25" s="9" t="s">
        <v>44</v>
      </c>
      <c r="E25" s="10" t="s">
        <v>44</v>
      </c>
      <c r="F25" s="10" t="s">
        <v>45</v>
      </c>
      <c r="G25" s="10">
        <v>1276939</v>
      </c>
      <c r="H25" s="20">
        <v>8.5</v>
      </c>
      <c r="I25" s="10" t="s">
        <v>38</v>
      </c>
      <c r="J25" s="10" t="s">
        <v>19</v>
      </c>
      <c r="K25" s="10" t="s">
        <v>166</v>
      </c>
      <c r="L25" s="12">
        <f>WORKDAY.INTL(INT(TblPlanner[[#This Row],[CompletionTime]]), 6, 7)</f>
        <v>46058</v>
      </c>
      <c r="M25" s="12"/>
      <c r="N25" s="12"/>
      <c r="O25" s="29"/>
    </row>
    <row r="26" spans="1:15">
      <c r="A26" s="7">
        <v>48</v>
      </c>
      <c r="B26" s="8">
        <v>45985.42287037037</v>
      </c>
      <c r="C26" s="9" t="s">
        <v>141</v>
      </c>
      <c r="D26" s="9" t="s">
        <v>142</v>
      </c>
      <c r="E26" s="10" t="s">
        <v>142</v>
      </c>
      <c r="F26" s="10" t="s">
        <v>33</v>
      </c>
      <c r="G26" s="10">
        <v>1267027</v>
      </c>
      <c r="H26" s="20">
        <v>8.375</v>
      </c>
      <c r="I26" s="10" t="s">
        <v>87</v>
      </c>
      <c r="J26" s="10" t="s">
        <v>35</v>
      </c>
      <c r="K26" s="10">
        <v>14462149</v>
      </c>
      <c r="L26" s="12">
        <f>WORKDAY.INTL(INT(TblPlanner[[#This Row],[CompletionTime]]), 6, 7)</f>
        <v>46058</v>
      </c>
      <c r="M26" s="12">
        <v>45987</v>
      </c>
      <c r="N26" s="12"/>
      <c r="O26" s="29"/>
    </row>
    <row r="27" spans="1:15">
      <c r="A27" s="7">
        <v>49</v>
      </c>
      <c r="B27" s="8">
        <v>45985.423194444447</v>
      </c>
      <c r="C27" s="9" t="s">
        <v>141</v>
      </c>
      <c r="D27" s="9" t="s">
        <v>142</v>
      </c>
      <c r="E27" s="10" t="s">
        <v>142</v>
      </c>
      <c r="F27" s="10" t="s">
        <v>33</v>
      </c>
      <c r="G27" s="10">
        <v>1267027</v>
      </c>
      <c r="H27" s="20">
        <v>8.375</v>
      </c>
      <c r="I27" s="10" t="s">
        <v>143</v>
      </c>
      <c r="J27" s="10" t="s">
        <v>35</v>
      </c>
      <c r="K27" s="10">
        <v>14462150</v>
      </c>
      <c r="L27" s="12">
        <f>WORKDAY.INTL(INT(TblPlanner[[#This Row],[CompletionTime]]), 6, 7)</f>
        <v>46058</v>
      </c>
      <c r="M27" s="12">
        <v>45987</v>
      </c>
      <c r="N27" s="12"/>
      <c r="O27" s="29"/>
    </row>
    <row r="28" spans="1:15">
      <c r="A28" s="7">
        <v>52</v>
      </c>
      <c r="B28" s="8">
        <v>45986.415312500001</v>
      </c>
      <c r="C28" s="9" t="s">
        <v>31</v>
      </c>
      <c r="D28" s="9" t="s">
        <v>44</v>
      </c>
      <c r="E28" s="10" t="s">
        <v>44</v>
      </c>
      <c r="F28" s="10" t="s">
        <v>45</v>
      </c>
      <c r="G28" s="10">
        <v>1276939</v>
      </c>
      <c r="H28" s="20">
        <v>8.5</v>
      </c>
      <c r="I28" s="10" t="s">
        <v>38</v>
      </c>
      <c r="J28" s="10" t="s">
        <v>19</v>
      </c>
      <c r="K28" s="10" t="s">
        <v>167</v>
      </c>
      <c r="L28" s="12">
        <f>WORKDAY.INTL(INT(TblPlanner[[#This Row],[CompletionTime]]), 6, 7)</f>
        <v>46058</v>
      </c>
      <c r="M28" s="10"/>
      <c r="N28" s="10"/>
      <c r="O28" s="21"/>
    </row>
    <row r="29" spans="1:15">
      <c r="A29" s="7">
        <v>54</v>
      </c>
      <c r="B29" s="8">
        <v>45988.451307870368</v>
      </c>
      <c r="C29" s="9" t="s">
        <v>147</v>
      </c>
      <c r="D29" s="9" t="s">
        <v>148</v>
      </c>
      <c r="E29" s="10" t="s">
        <v>148</v>
      </c>
      <c r="F29" s="10" t="s">
        <v>17</v>
      </c>
      <c r="G29" s="10">
        <v>1252149</v>
      </c>
      <c r="H29" s="20">
        <v>3.875</v>
      </c>
      <c r="I29" s="10" t="s">
        <v>22</v>
      </c>
      <c r="J29" s="10" t="s">
        <v>19</v>
      </c>
      <c r="K29" s="10" t="s">
        <v>168</v>
      </c>
      <c r="L29" s="12">
        <f>WORKDAY.INTL(INT(TblPlanner[[#This Row],[CompletionTime]]), 6, 7)</f>
        <v>46058</v>
      </c>
      <c r="M29" s="10"/>
      <c r="N29" s="10"/>
      <c r="O29" s="21"/>
    </row>
    <row r="30" spans="1:15">
      <c r="A30" s="7">
        <v>58</v>
      </c>
      <c r="B30" s="8">
        <v>45988.45412037037</v>
      </c>
      <c r="C30" s="9" t="s">
        <v>147</v>
      </c>
      <c r="D30" s="9" t="s">
        <v>148</v>
      </c>
      <c r="E30" s="10" t="s">
        <v>148</v>
      </c>
      <c r="F30" s="10" t="s">
        <v>17</v>
      </c>
      <c r="G30" s="10">
        <v>1137349</v>
      </c>
      <c r="H30" s="20">
        <v>6.125</v>
      </c>
      <c r="I30" s="10" t="s">
        <v>125</v>
      </c>
      <c r="J30" s="10" t="s">
        <v>19</v>
      </c>
      <c r="K30" s="10" t="s">
        <v>128</v>
      </c>
      <c r="L30" s="12">
        <f>WORKDAY.INTL(INT(TblPlanner[[#This Row],[CompletionTime]]), 6, 7)</f>
        <v>46058</v>
      </c>
      <c r="M30" s="10"/>
      <c r="N30" s="10"/>
      <c r="O30" s="21"/>
    </row>
    <row r="31" spans="1:15">
      <c r="A31" s="7">
        <v>62</v>
      </c>
      <c r="B31" s="8">
        <v>45993.370416666665</v>
      </c>
      <c r="C31" s="9" t="s">
        <v>31</v>
      </c>
      <c r="D31" s="9" t="s">
        <v>44</v>
      </c>
      <c r="E31" s="10" t="s">
        <v>44</v>
      </c>
      <c r="F31" s="10" t="s">
        <v>45</v>
      </c>
      <c r="G31" s="10">
        <v>1276939</v>
      </c>
      <c r="H31" s="20">
        <v>8.5</v>
      </c>
      <c r="I31" s="10" t="s">
        <v>38</v>
      </c>
      <c r="J31" s="10" t="s">
        <v>19</v>
      </c>
      <c r="K31" s="10" t="s">
        <v>169</v>
      </c>
      <c r="L31" s="12">
        <f>WORKDAY.INTL(INT(TblPlanner[[#This Row],[CompletionTime]]), 6, 7)</f>
        <v>46058</v>
      </c>
      <c r="M31" s="10"/>
      <c r="N31" s="10"/>
      <c r="O31" s="21"/>
    </row>
    <row r="32" spans="1:15">
      <c r="A32" s="7">
        <v>31</v>
      </c>
      <c r="B32" s="8">
        <v>45973.608530092592</v>
      </c>
      <c r="C32" s="9" t="s">
        <v>15</v>
      </c>
      <c r="D32" s="9" t="s">
        <v>16</v>
      </c>
      <c r="E32" s="10" t="s">
        <v>16</v>
      </c>
      <c r="F32" s="10" t="s">
        <v>17</v>
      </c>
      <c r="G32" s="10">
        <v>1251085</v>
      </c>
      <c r="H32" s="20">
        <v>6.125</v>
      </c>
      <c r="I32" s="10" t="s">
        <v>125</v>
      </c>
      <c r="J32" s="10" t="s">
        <v>35</v>
      </c>
      <c r="K32" s="10">
        <v>14431433</v>
      </c>
      <c r="L32" s="12">
        <f>WORKDAY.INTL(INT(TblPlanner[[#This Row],[CompletionTime]]), 6, 7)</f>
        <v>46062</v>
      </c>
      <c r="M32" s="12">
        <v>45985</v>
      </c>
      <c r="N32" s="12"/>
      <c r="O32" s="29"/>
    </row>
    <row r="33" spans="1:15">
      <c r="A33" s="7">
        <v>33</v>
      </c>
      <c r="B33" s="8">
        <v>45973.61136574074</v>
      </c>
      <c r="C33" s="9" t="s">
        <v>15</v>
      </c>
      <c r="D33" s="9" t="s">
        <v>16</v>
      </c>
      <c r="E33" s="10" t="s">
        <v>16</v>
      </c>
      <c r="F33" s="10" t="s">
        <v>17</v>
      </c>
      <c r="G33" s="10">
        <v>2027359</v>
      </c>
      <c r="H33" s="20">
        <v>6</v>
      </c>
      <c r="I33" s="10" t="s">
        <v>145</v>
      </c>
      <c r="J33" s="10" t="s">
        <v>35</v>
      </c>
      <c r="K33" s="10">
        <v>14462463</v>
      </c>
      <c r="L33" s="12">
        <f>WORKDAY.INTL(INT(TblPlanner[[#This Row],[CompletionTime]]), 6, 7)</f>
        <v>46062</v>
      </c>
      <c r="M33" s="12">
        <v>45985</v>
      </c>
      <c r="N33" s="12"/>
      <c r="O33" s="29"/>
    </row>
    <row r="34" spans="1:15">
      <c r="A34" s="7">
        <v>66</v>
      </c>
      <c r="B34" s="8">
        <v>45998.330509259256</v>
      </c>
      <c r="C34" s="9" t="s">
        <v>141</v>
      </c>
      <c r="D34" s="9" t="s">
        <v>170</v>
      </c>
      <c r="E34" s="10" t="s">
        <v>170</v>
      </c>
      <c r="F34" s="10" t="s">
        <v>33</v>
      </c>
      <c r="G34" s="10">
        <v>2028159</v>
      </c>
      <c r="H34" s="20">
        <v>12</v>
      </c>
      <c r="I34" s="10" t="s">
        <v>171</v>
      </c>
      <c r="J34" s="10" t="s">
        <v>35</v>
      </c>
      <c r="K34" s="10"/>
      <c r="L34" s="12">
        <f>WORKDAY.INTL(INT(TblPlanner[[#This Row],[CompletionTime]]), 6, 7)</f>
        <v>46063</v>
      </c>
      <c r="M34" s="12">
        <v>46001</v>
      </c>
      <c r="N34" s="10"/>
      <c r="O34" s="21" t="s">
        <v>172</v>
      </c>
    </row>
    <row r="35" spans="1:15">
      <c r="A35" s="7">
        <v>71</v>
      </c>
      <c r="B35" s="8">
        <v>45999.446296296293</v>
      </c>
      <c r="C35" s="9" t="s">
        <v>64</v>
      </c>
      <c r="D35" s="9" t="s">
        <v>85</v>
      </c>
      <c r="E35" s="10" t="s">
        <v>85</v>
      </c>
      <c r="F35" s="10" t="s">
        <v>66</v>
      </c>
      <c r="G35" s="10">
        <v>2016920</v>
      </c>
      <c r="H35" s="20">
        <v>3.625</v>
      </c>
      <c r="I35" s="10" t="s">
        <v>173</v>
      </c>
      <c r="J35" s="10" t="s">
        <v>35</v>
      </c>
      <c r="K35" s="10">
        <v>14426670</v>
      </c>
      <c r="L35" s="12">
        <f>WORKDAY.INTL(INT(TblPlanner[[#This Row],[CompletionTime]]), 6, 7)</f>
        <v>46068</v>
      </c>
      <c r="M35" s="12">
        <v>46001</v>
      </c>
      <c r="N35" s="10"/>
      <c r="O35" s="21"/>
    </row>
    <row r="36" spans="1:15">
      <c r="A36" s="7">
        <v>43</v>
      </c>
      <c r="B36" s="8">
        <v>45980.367418981485</v>
      </c>
      <c r="C36" s="9" t="s">
        <v>31</v>
      </c>
      <c r="D36" s="9" t="s">
        <v>44</v>
      </c>
      <c r="E36" s="10" t="s">
        <v>44</v>
      </c>
      <c r="F36" s="10" t="s">
        <v>45</v>
      </c>
      <c r="G36" s="10">
        <v>1276939</v>
      </c>
      <c r="H36" s="20">
        <v>8.5</v>
      </c>
      <c r="I36" s="10" t="s">
        <v>38</v>
      </c>
      <c r="J36" s="10" t="s">
        <v>19</v>
      </c>
      <c r="K36" s="10" t="s">
        <v>174</v>
      </c>
      <c r="L36" s="12">
        <f>WORKDAY.INTL(INT(TblPlanner[[#This Row],[CompletionTime]]), 6, 7)</f>
        <v>46058</v>
      </c>
      <c r="M36" s="12"/>
      <c r="N36" s="12"/>
      <c r="O36" s="29"/>
    </row>
    <row r="37" spans="1:15">
      <c r="A37" s="7">
        <v>51</v>
      </c>
      <c r="B37" s="8">
        <v>45986.4137962963</v>
      </c>
      <c r="C37" s="9" t="s">
        <v>31</v>
      </c>
      <c r="D37" s="9" t="s">
        <v>44</v>
      </c>
      <c r="E37" s="10" t="s">
        <v>44</v>
      </c>
      <c r="F37" s="10" t="s">
        <v>45</v>
      </c>
      <c r="G37" s="10">
        <v>1276939</v>
      </c>
      <c r="H37" s="20">
        <v>8.5</v>
      </c>
      <c r="I37" s="10" t="s">
        <v>38</v>
      </c>
      <c r="J37" s="10" t="s">
        <v>19</v>
      </c>
      <c r="K37" s="10" t="s">
        <v>175</v>
      </c>
      <c r="L37" s="12">
        <f>WORKDAY.INTL(INT(TblPlanner[[#This Row],[CompletionTime]]), 6, 7)</f>
        <v>46058</v>
      </c>
      <c r="M37" s="10"/>
      <c r="N37" s="10"/>
      <c r="O37" s="21"/>
    </row>
    <row r="38" spans="1:15">
      <c r="A38" s="7">
        <v>70</v>
      </c>
      <c r="B38" s="8">
        <v>45999.438333333332</v>
      </c>
      <c r="C38" s="9" t="s">
        <v>15</v>
      </c>
      <c r="D38" s="9" t="s">
        <v>156</v>
      </c>
      <c r="E38" s="10" t="s">
        <v>156</v>
      </c>
      <c r="F38" s="10" t="s">
        <v>176</v>
      </c>
      <c r="G38" s="10">
        <v>1252149</v>
      </c>
      <c r="H38" s="20">
        <v>3.875</v>
      </c>
      <c r="I38" s="10" t="s">
        <v>22</v>
      </c>
      <c r="J38" s="10" t="s">
        <v>19</v>
      </c>
      <c r="K38" s="10" t="s">
        <v>177</v>
      </c>
      <c r="L38" s="12">
        <f>WORKDAY.INTL(INT(TblPlanner[[#This Row],[CompletionTime]]), 6, 7)</f>
        <v>46058</v>
      </c>
      <c r="M38" s="10"/>
      <c r="N38" s="10"/>
      <c r="O38" s="21"/>
    </row>
    <row r="39" spans="1:15">
      <c r="A39" s="7">
        <v>73</v>
      </c>
      <c r="B39" s="8">
        <v>45999.515509259261</v>
      </c>
      <c r="C39" s="9" t="s">
        <v>31</v>
      </c>
      <c r="D39" s="9" t="s">
        <v>44</v>
      </c>
      <c r="E39" s="10" t="s">
        <v>44</v>
      </c>
      <c r="F39" s="10" t="s">
        <v>45</v>
      </c>
      <c r="G39" s="10">
        <v>1276939</v>
      </c>
      <c r="H39" s="20">
        <v>8.5</v>
      </c>
      <c r="I39" s="10" t="s">
        <v>38</v>
      </c>
      <c r="J39" s="10" t="s">
        <v>19</v>
      </c>
      <c r="K39" s="10" t="s">
        <v>178</v>
      </c>
      <c r="L39" s="12">
        <f>WORKDAY.INTL(INT(TblPlanner[[#This Row],[CompletionTime]]), 6, 7)</f>
        <v>46058</v>
      </c>
      <c r="M39" s="10"/>
      <c r="N39" s="10"/>
      <c r="O39" s="21"/>
    </row>
    <row r="40" spans="1:15">
      <c r="A40" s="7">
        <v>80</v>
      </c>
      <c r="B40" s="8">
        <v>46006.445625</v>
      </c>
      <c r="C40" s="9" t="s">
        <v>15</v>
      </c>
      <c r="D40" s="9" t="s">
        <v>16</v>
      </c>
      <c r="E40" s="10" t="s">
        <v>16</v>
      </c>
      <c r="F40" s="10" t="s">
        <v>176</v>
      </c>
      <c r="G40" s="10">
        <v>1252149</v>
      </c>
      <c r="H40" s="20">
        <v>3.875</v>
      </c>
      <c r="I40" s="10" t="s">
        <v>22</v>
      </c>
      <c r="J40" s="10" t="s">
        <v>19</v>
      </c>
      <c r="K40" s="10" t="s">
        <v>179</v>
      </c>
      <c r="L40" s="12">
        <f>WORKDAY.INTL(INT(TblPlanner[[#This Row],[CompletionTime]]), 6, 7)</f>
        <v>46058</v>
      </c>
      <c r="M40" s="10"/>
      <c r="N40" s="10"/>
      <c r="O40" s="21"/>
    </row>
    <row r="41" spans="1:15">
      <c r="A41" s="7">
        <v>81</v>
      </c>
      <c r="B41" s="8">
        <v>46006.446851851855</v>
      </c>
      <c r="C41" s="9" t="s">
        <v>15</v>
      </c>
      <c r="D41" s="9" t="s">
        <v>16</v>
      </c>
      <c r="E41" s="10" t="s">
        <v>16</v>
      </c>
      <c r="F41" s="10" t="s">
        <v>17</v>
      </c>
      <c r="G41" s="10">
        <v>1251085</v>
      </c>
      <c r="H41" s="20">
        <v>6.125</v>
      </c>
      <c r="I41" s="10" t="s">
        <v>125</v>
      </c>
      <c r="J41" s="10" t="s">
        <v>19</v>
      </c>
      <c r="K41" s="10" t="s">
        <v>151</v>
      </c>
      <c r="L41" s="12">
        <f>WORKDAY.INTL(INT(TblPlanner[[#This Row],[CompletionTime]]), 6, 7)</f>
        <v>46058</v>
      </c>
      <c r="M41" s="10"/>
      <c r="N41" s="10"/>
      <c r="O41" s="21"/>
    </row>
    <row r="42" spans="1:15">
      <c r="A42" s="7">
        <v>82</v>
      </c>
      <c r="B42" s="8">
        <v>46006.447881944441</v>
      </c>
      <c r="C42" s="9" t="s">
        <v>15</v>
      </c>
      <c r="D42" s="9" t="s">
        <v>16</v>
      </c>
      <c r="E42" s="10" t="s">
        <v>16</v>
      </c>
      <c r="F42" s="10" t="s">
        <v>17</v>
      </c>
      <c r="G42" s="10">
        <v>1137349</v>
      </c>
      <c r="H42" s="20">
        <v>6.125</v>
      </c>
      <c r="I42" s="10" t="s">
        <v>125</v>
      </c>
      <c r="J42" s="10" t="s">
        <v>19</v>
      </c>
      <c r="K42" s="10" t="s">
        <v>150</v>
      </c>
      <c r="L42" s="12">
        <f>WORKDAY.INTL(INT(TblPlanner[[#This Row],[CompletionTime]]), 6, 7)</f>
        <v>46058</v>
      </c>
      <c r="M42" s="10"/>
      <c r="N42" s="10"/>
      <c r="O42" s="21"/>
    </row>
    <row r="43" spans="1:15">
      <c r="A43" s="7">
        <v>88</v>
      </c>
      <c r="B43" s="8">
        <v>46007.428055555552</v>
      </c>
      <c r="C43" s="9" t="s">
        <v>40</v>
      </c>
      <c r="D43" s="9" t="s">
        <v>41</v>
      </c>
      <c r="E43" s="10" t="s">
        <v>41</v>
      </c>
      <c r="F43" s="10" t="s">
        <v>135</v>
      </c>
      <c r="G43" s="10" t="s">
        <v>180</v>
      </c>
      <c r="H43" s="20">
        <v>6.125</v>
      </c>
      <c r="I43" s="10" t="s">
        <v>181</v>
      </c>
      <c r="J43" s="10" t="s">
        <v>35</v>
      </c>
      <c r="K43" s="10">
        <v>14476921</v>
      </c>
      <c r="L43" s="12">
        <f>WORKDAY.INTL(INT(TblPlanner[[#This Row],[CompletionTime]]), 6, 7)</f>
        <v>46058</v>
      </c>
      <c r="M43" s="12">
        <v>46008</v>
      </c>
      <c r="N43" s="10" t="s">
        <v>182</v>
      </c>
      <c r="O43" s="21"/>
    </row>
    <row r="44" spans="1:15">
      <c r="A44" s="7">
        <v>63</v>
      </c>
      <c r="B44" s="8">
        <v>45994.335162037038</v>
      </c>
      <c r="C44" s="9" t="s">
        <v>31</v>
      </c>
      <c r="D44" s="9" t="s">
        <v>44</v>
      </c>
      <c r="E44" s="10" t="s">
        <v>44</v>
      </c>
      <c r="F44" s="10" t="s">
        <v>33</v>
      </c>
      <c r="G44" s="10">
        <v>2022318</v>
      </c>
      <c r="H44" s="20">
        <v>8.5</v>
      </c>
      <c r="I44" s="10" t="s">
        <v>38</v>
      </c>
      <c r="J44" s="10" t="s">
        <v>35</v>
      </c>
      <c r="K44" s="10">
        <v>14462151</v>
      </c>
      <c r="L44" s="12">
        <f>WORKDAY.INTL(INT(TblPlanner[[#This Row],[CompletionTime]]), 6, 7)</f>
        <v>46058</v>
      </c>
      <c r="M44" s="12">
        <v>45999</v>
      </c>
      <c r="N44" s="10" t="s">
        <v>183</v>
      </c>
      <c r="O44" s="21"/>
    </row>
    <row r="45" spans="1:15">
      <c r="A45" s="7">
        <v>65</v>
      </c>
      <c r="B45" s="8">
        <v>45995.305428240739</v>
      </c>
      <c r="C45" s="9" t="s">
        <v>64</v>
      </c>
      <c r="D45" s="9" t="s">
        <v>85</v>
      </c>
      <c r="E45" s="10" t="s">
        <v>85</v>
      </c>
      <c r="F45" s="10" t="s">
        <v>66</v>
      </c>
      <c r="G45" s="10">
        <v>2022350</v>
      </c>
      <c r="H45" s="20">
        <v>5.875</v>
      </c>
      <c r="I45" s="10" t="s">
        <v>184</v>
      </c>
      <c r="J45" s="10" t="s">
        <v>35</v>
      </c>
      <c r="K45" s="10">
        <v>14460272</v>
      </c>
      <c r="L45" s="12">
        <f>WORKDAY.INTL(INT(TblPlanner[[#This Row],[CompletionTime]]), 6, 7)</f>
        <v>46058</v>
      </c>
      <c r="M45" s="12">
        <v>46002</v>
      </c>
      <c r="N45" s="10" t="s">
        <v>185</v>
      </c>
      <c r="O45" s="21"/>
    </row>
    <row r="46" spans="1:15">
      <c r="A46" s="7">
        <v>83</v>
      </c>
      <c r="B46" s="8">
        <v>46006.448900462965</v>
      </c>
      <c r="C46" s="9" t="s">
        <v>15</v>
      </c>
      <c r="D46" s="9" t="s">
        <v>16</v>
      </c>
      <c r="E46" s="10" t="s">
        <v>16</v>
      </c>
      <c r="F46" s="10" t="s">
        <v>17</v>
      </c>
      <c r="G46" s="10">
        <v>1252149</v>
      </c>
      <c r="H46" s="20">
        <v>3.875</v>
      </c>
      <c r="I46" s="10" t="s">
        <v>22</v>
      </c>
      <c r="J46" s="10" t="s">
        <v>19</v>
      </c>
      <c r="K46" s="10" t="s">
        <v>186</v>
      </c>
      <c r="L46" s="12">
        <f>WORKDAY.INTL(INT(TblPlanner[[#This Row],[CompletionTime]]), 6, 7)</f>
        <v>46058</v>
      </c>
      <c r="M46" s="10"/>
      <c r="N46" s="10"/>
      <c r="O46" s="21"/>
    </row>
    <row r="47" spans="1:15">
      <c r="A47" s="7">
        <v>59</v>
      </c>
      <c r="B47" s="8">
        <v>45988.455057870371</v>
      </c>
      <c r="C47" s="9" t="s">
        <v>147</v>
      </c>
      <c r="D47" s="9" t="s">
        <v>148</v>
      </c>
      <c r="E47" s="10" t="s">
        <v>148</v>
      </c>
      <c r="F47" s="10" t="s">
        <v>17</v>
      </c>
      <c r="G47" s="10">
        <v>1251085</v>
      </c>
      <c r="H47" s="20">
        <v>6.125</v>
      </c>
      <c r="I47" s="10" t="s">
        <v>187</v>
      </c>
      <c r="J47" s="10" t="s">
        <v>19</v>
      </c>
      <c r="K47" s="13">
        <v>14321011</v>
      </c>
      <c r="L47" s="12">
        <f>WORKDAY.INTL(INT(TblPlanner[[#This Row],[CompletionTime]]), 6, 7)</f>
        <v>46058</v>
      </c>
      <c r="M47" s="10"/>
      <c r="N47" s="10"/>
      <c r="O47" s="21"/>
    </row>
    <row r="48" spans="1:15">
      <c r="A48" s="7">
        <v>68</v>
      </c>
      <c r="B48" s="8">
        <v>45999.346539351849</v>
      </c>
      <c r="C48" s="9" t="s">
        <v>15</v>
      </c>
      <c r="D48" s="9" t="s">
        <v>156</v>
      </c>
      <c r="E48" s="10" t="s">
        <v>156</v>
      </c>
      <c r="F48" s="10" t="s">
        <v>17</v>
      </c>
      <c r="G48" s="10">
        <v>1252149</v>
      </c>
      <c r="H48" s="20">
        <v>3.875</v>
      </c>
      <c r="I48" s="10" t="s">
        <v>22</v>
      </c>
      <c r="J48" s="10" t="s">
        <v>19</v>
      </c>
      <c r="K48" s="10" t="s">
        <v>188</v>
      </c>
      <c r="L48" s="12">
        <f>WORKDAY.INTL(INT(TblPlanner[[#This Row],[CompletionTime]]), 6, 7)</f>
        <v>46058</v>
      </c>
      <c r="M48" s="10"/>
      <c r="N48" s="10"/>
      <c r="O48" s="21"/>
    </row>
    <row r="49" spans="1:15">
      <c r="A49" s="7">
        <v>84</v>
      </c>
      <c r="B49" s="8">
        <v>46006.44976851852</v>
      </c>
      <c r="C49" s="9" t="s">
        <v>15</v>
      </c>
      <c r="D49" s="9" t="s">
        <v>16</v>
      </c>
      <c r="E49" s="10" t="s">
        <v>16</v>
      </c>
      <c r="F49" s="10" t="s">
        <v>17</v>
      </c>
      <c r="G49" s="10">
        <v>1145824</v>
      </c>
      <c r="H49" s="20">
        <v>6.125</v>
      </c>
      <c r="I49" s="10" t="s">
        <v>18</v>
      </c>
      <c r="J49" s="10" t="s">
        <v>19</v>
      </c>
      <c r="K49" s="10" t="s">
        <v>189</v>
      </c>
      <c r="L49" s="12">
        <f>WORKDAY.INTL(INT(TblPlanner[[#This Row],[CompletionTime]]), 6, 7)</f>
        <v>46058</v>
      </c>
      <c r="M49" s="10"/>
      <c r="N49" s="10"/>
      <c r="O49" s="21"/>
    </row>
    <row r="50" spans="1:15">
      <c r="A50" s="7">
        <v>61</v>
      </c>
      <c r="B50" s="8">
        <v>45993.369884259257</v>
      </c>
      <c r="C50" s="9" t="s">
        <v>31</v>
      </c>
      <c r="D50" s="9" t="s">
        <v>152</v>
      </c>
      <c r="E50" s="10" t="s">
        <v>152</v>
      </c>
      <c r="F50" s="10" t="s">
        <v>45</v>
      </c>
      <c r="G50" s="10">
        <v>2022418</v>
      </c>
      <c r="H50" s="20">
        <v>8.5</v>
      </c>
      <c r="I50" s="10" t="s">
        <v>190</v>
      </c>
      <c r="J50" s="10" t="s">
        <v>19</v>
      </c>
      <c r="K50" s="10" t="s">
        <v>191</v>
      </c>
      <c r="L50" s="12">
        <f>WORKDAY.INTL(INT(TblPlanner[[#This Row],[CompletionTime]]), 6, 7)</f>
        <v>46058</v>
      </c>
      <c r="M50" s="10"/>
      <c r="N50" s="10"/>
      <c r="O50" s="21"/>
    </row>
    <row r="51" spans="1:15">
      <c r="A51" s="7">
        <v>85</v>
      </c>
      <c r="B51" s="8">
        <v>46006.450567129628</v>
      </c>
      <c r="C51" s="9" t="s">
        <v>15</v>
      </c>
      <c r="D51" s="9" t="s">
        <v>16</v>
      </c>
      <c r="E51" s="10" t="s">
        <v>16</v>
      </c>
      <c r="F51" s="10" t="s">
        <v>17</v>
      </c>
      <c r="G51" s="10">
        <v>1251085</v>
      </c>
      <c r="H51" s="20">
        <v>6.125</v>
      </c>
      <c r="I51" s="10" t="s">
        <v>125</v>
      </c>
      <c r="J51" s="10" t="s">
        <v>54</v>
      </c>
      <c r="K51" s="10" t="s">
        <v>192</v>
      </c>
      <c r="L51" s="12">
        <f>WORKDAY.INTL(INT(TblPlanner[[#This Row],[CompletionTime]]), 6, 7)</f>
        <v>46058</v>
      </c>
      <c r="M51" s="10"/>
      <c r="N51" s="10"/>
      <c r="O51" s="21"/>
    </row>
    <row r="52" spans="1:15">
      <c r="A52" s="7">
        <v>86</v>
      </c>
      <c r="B52" s="8">
        <v>46006.451631944445</v>
      </c>
      <c r="C52" s="9" t="s">
        <v>15</v>
      </c>
      <c r="D52" s="9" t="s">
        <v>16</v>
      </c>
      <c r="E52" s="10" t="s">
        <v>16</v>
      </c>
      <c r="F52" s="10" t="s">
        <v>17</v>
      </c>
      <c r="G52" s="10">
        <v>1251085</v>
      </c>
      <c r="H52" s="20">
        <v>6.125</v>
      </c>
      <c r="I52" s="10" t="s">
        <v>125</v>
      </c>
      <c r="J52" s="10" t="s">
        <v>54</v>
      </c>
      <c r="K52" s="10" t="s">
        <v>193</v>
      </c>
      <c r="L52" s="12">
        <f>WORKDAY.INTL(INT(TblPlanner[[#This Row],[CompletionTime]]), 6, 7)</f>
        <v>46058</v>
      </c>
      <c r="M52" s="10"/>
      <c r="N52" s="10"/>
      <c r="O52" s="21"/>
    </row>
    <row r="53" spans="1:15">
      <c r="A53" s="7">
        <v>89</v>
      </c>
      <c r="B53" s="8">
        <v>46008.546203703707</v>
      </c>
      <c r="C53" s="9" t="s">
        <v>15</v>
      </c>
      <c r="D53" s="9" t="s">
        <v>156</v>
      </c>
      <c r="E53" s="10" t="s">
        <v>156</v>
      </c>
      <c r="F53" s="10" t="s">
        <v>17</v>
      </c>
      <c r="G53" s="10">
        <v>2020054</v>
      </c>
      <c r="H53" s="20">
        <v>6.125</v>
      </c>
      <c r="I53" s="10" t="s">
        <v>158</v>
      </c>
      <c r="J53" s="10" t="s">
        <v>54</v>
      </c>
      <c r="K53" s="10" t="s">
        <v>194</v>
      </c>
      <c r="L53" s="12">
        <f>WORKDAY.INTL(INT(TblPlanner[[#This Row],[CompletionTime]]), 6, 7)</f>
        <v>46058</v>
      </c>
      <c r="M53" s="12"/>
      <c r="N53" s="10"/>
      <c r="O53" s="21"/>
    </row>
    <row r="54" spans="1:15">
      <c r="A54" s="7">
        <v>90</v>
      </c>
      <c r="B54" s="8">
        <v>46008.546909722223</v>
      </c>
      <c r="C54" s="9" t="s">
        <v>15</v>
      </c>
      <c r="D54" s="9" t="s">
        <v>156</v>
      </c>
      <c r="E54" s="10" t="s">
        <v>156</v>
      </c>
      <c r="F54" s="10" t="s">
        <v>17</v>
      </c>
      <c r="G54" s="10">
        <v>1283567</v>
      </c>
      <c r="H54" s="20">
        <v>6.125</v>
      </c>
      <c r="I54" s="10" t="s">
        <v>195</v>
      </c>
      <c r="J54" s="10" t="s">
        <v>54</v>
      </c>
      <c r="K54" s="10">
        <v>14337194</v>
      </c>
      <c r="L54" s="12">
        <f>WORKDAY.INTL(INT(TblPlanner[[#This Row],[CompletionTime]]), 6, 7)</f>
        <v>46058</v>
      </c>
      <c r="M54" s="12"/>
      <c r="N54" s="10"/>
      <c r="O54" s="21"/>
    </row>
    <row r="55" spans="1:15">
      <c r="A55" s="1">
        <v>69</v>
      </c>
      <c r="B55" s="2">
        <v>45999.404363425929</v>
      </c>
      <c r="C55" s="1" t="s">
        <v>15</v>
      </c>
      <c r="D55" s="1" t="s">
        <v>16</v>
      </c>
      <c r="E55" s="3" t="s">
        <v>16</v>
      </c>
      <c r="F55" s="3" t="s">
        <v>176</v>
      </c>
      <c r="G55" s="3">
        <v>1252149</v>
      </c>
      <c r="H55" s="19">
        <v>3.875</v>
      </c>
      <c r="I55" s="3" t="s">
        <v>22</v>
      </c>
      <c r="J55" s="3" t="s">
        <v>19</v>
      </c>
      <c r="K55" s="3" t="s">
        <v>196</v>
      </c>
      <c r="L55" s="11">
        <f>WORKDAY.INTL(INT(TblPlanner[[#This Row],[CompletionTime]]), 6, 7)</f>
        <v>46058</v>
      </c>
      <c r="M55" s="3"/>
      <c r="N55" s="3"/>
      <c r="O55" s="3"/>
    </row>
    <row r="56" spans="1:15">
      <c r="A56" s="1">
        <v>75</v>
      </c>
      <c r="B56" s="2">
        <v>46000.421122685184</v>
      </c>
      <c r="C56" s="1" t="s">
        <v>15</v>
      </c>
      <c r="D56" s="1" t="s">
        <v>16</v>
      </c>
      <c r="E56" s="3" t="s">
        <v>16</v>
      </c>
      <c r="F56" s="3" t="s">
        <v>17</v>
      </c>
      <c r="G56" s="3">
        <v>1281596</v>
      </c>
      <c r="H56" s="19">
        <v>6</v>
      </c>
      <c r="I56" s="3" t="s">
        <v>197</v>
      </c>
      <c r="J56" s="3" t="s">
        <v>19</v>
      </c>
      <c r="K56" s="3" t="s">
        <v>198</v>
      </c>
      <c r="L56" s="11">
        <f>WORKDAY.INTL(INT(TblPlanner[[#This Row],[CompletionTime]]), 6, 7)</f>
        <v>46058</v>
      </c>
      <c r="M56" s="3"/>
      <c r="N56" s="3"/>
      <c r="O56" s="3"/>
    </row>
    <row r="57" spans="1:15">
      <c r="A57" s="1">
        <v>76</v>
      </c>
      <c r="B57" s="2">
        <v>46000.421689814815</v>
      </c>
      <c r="C57" s="1" t="s">
        <v>15</v>
      </c>
      <c r="D57" s="1" t="s">
        <v>16</v>
      </c>
      <c r="E57" s="3" t="s">
        <v>16</v>
      </c>
      <c r="F57" s="3" t="s">
        <v>17</v>
      </c>
      <c r="G57" s="3">
        <v>1281596</v>
      </c>
      <c r="H57" s="19">
        <v>6</v>
      </c>
      <c r="I57" s="3" t="s">
        <v>197</v>
      </c>
      <c r="J57" s="3" t="s">
        <v>19</v>
      </c>
      <c r="K57" s="3" t="s">
        <v>199</v>
      </c>
      <c r="L57" s="11">
        <f>WORKDAY.INTL(INT(TblPlanner[[#This Row],[CompletionTime]]), 6, 7)</f>
        <v>46058</v>
      </c>
      <c r="M57" s="3"/>
      <c r="N57" s="3"/>
      <c r="O57" s="3"/>
    </row>
    <row r="58" spans="1:15">
      <c r="A58" s="7">
        <v>91</v>
      </c>
      <c r="B58" s="8">
        <v>46012.527592592596</v>
      </c>
      <c r="C58" s="9" t="s">
        <v>161</v>
      </c>
      <c r="D58" s="9" t="s">
        <v>200</v>
      </c>
      <c r="E58" s="10" t="s">
        <v>200</v>
      </c>
      <c r="F58" s="10" t="s">
        <v>45</v>
      </c>
      <c r="G58" s="10">
        <v>2019412</v>
      </c>
      <c r="H58" s="20">
        <v>8.5</v>
      </c>
      <c r="I58" s="10" t="s">
        <v>190</v>
      </c>
      <c r="J58" s="10" t="s">
        <v>19</v>
      </c>
      <c r="K58" s="10" t="s">
        <v>201</v>
      </c>
      <c r="L58" s="12">
        <f>WORKDAY.INTL(INT(TblPlanner[[#This Row],[CompletionTime]]), 6, 7)</f>
        <v>46062</v>
      </c>
      <c r="M58" s="12"/>
      <c r="N58" s="10"/>
      <c r="O58" s="21"/>
    </row>
    <row r="59" spans="1:15">
      <c r="A59" s="7">
        <v>78</v>
      </c>
      <c r="B59" s="8">
        <v>46001.47247685185</v>
      </c>
      <c r="C59" s="9" t="s">
        <v>31</v>
      </c>
      <c r="D59" s="9" t="s">
        <v>44</v>
      </c>
      <c r="E59" s="10" t="s">
        <v>44</v>
      </c>
      <c r="F59" s="10" t="s">
        <v>45</v>
      </c>
      <c r="G59" s="10">
        <v>1276939</v>
      </c>
      <c r="H59" s="20">
        <v>8.5</v>
      </c>
      <c r="I59" s="10" t="s">
        <v>38</v>
      </c>
      <c r="J59" s="10" t="s">
        <v>19</v>
      </c>
      <c r="K59" s="10" t="s">
        <v>202</v>
      </c>
      <c r="L59" s="12">
        <f>WORKDAY.INTL(INT(TblPlanner[[#This Row],[CompletionTime]]), 6, 7)</f>
        <v>46062</v>
      </c>
      <c r="M59" s="10"/>
      <c r="N59" s="10"/>
      <c r="O59" s="21"/>
    </row>
    <row r="60" spans="1:15">
      <c r="A60" s="7">
        <v>42</v>
      </c>
      <c r="B60" s="8">
        <v>45980.366967592592</v>
      </c>
      <c r="C60" s="9" t="s">
        <v>31</v>
      </c>
      <c r="D60" s="9" t="s">
        <v>44</v>
      </c>
      <c r="E60" s="10" t="s">
        <v>44</v>
      </c>
      <c r="F60" s="10" t="s">
        <v>45</v>
      </c>
      <c r="G60" s="10">
        <v>1276939</v>
      </c>
      <c r="H60" s="20">
        <v>8.5</v>
      </c>
      <c r="I60" s="10" t="s">
        <v>38</v>
      </c>
      <c r="J60" s="10" t="s">
        <v>19</v>
      </c>
      <c r="K60" s="10" t="s">
        <v>203</v>
      </c>
      <c r="L60" s="12">
        <f>WORKDAY.INTL(INT(TblPlanner[[#This Row],[CompletionTime]]), 6, 7)</f>
        <v>46062</v>
      </c>
      <c r="M60" s="12"/>
      <c r="N60" s="12"/>
      <c r="O60" s="29"/>
    </row>
    <row r="61" spans="1:15">
      <c r="A61" s="7">
        <v>72</v>
      </c>
      <c r="B61" s="8">
        <v>45999.446898148148</v>
      </c>
      <c r="C61" s="9" t="s">
        <v>64</v>
      </c>
      <c r="D61" s="9" t="s">
        <v>85</v>
      </c>
      <c r="E61" s="10" t="s">
        <v>85</v>
      </c>
      <c r="F61" s="10" t="s">
        <v>66</v>
      </c>
      <c r="G61" s="10">
        <v>2016920</v>
      </c>
      <c r="H61" s="20">
        <v>3.625</v>
      </c>
      <c r="I61" s="10" t="s">
        <v>173</v>
      </c>
      <c r="J61" s="10" t="s">
        <v>35</v>
      </c>
      <c r="K61" s="10">
        <v>14460271</v>
      </c>
      <c r="L61" s="12">
        <f>WORKDAY.INTL(INT(TblPlanner[[#This Row],[CompletionTime]]), 6, 7)</f>
        <v>46065</v>
      </c>
      <c r="M61" s="12">
        <v>46002</v>
      </c>
      <c r="N61" s="10"/>
      <c r="O61" s="21"/>
    </row>
    <row r="62" spans="1:15">
      <c r="A62" s="7">
        <v>79</v>
      </c>
      <c r="B62" s="8">
        <v>46006.358506944445</v>
      </c>
      <c r="C62" s="9" t="s">
        <v>31</v>
      </c>
      <c r="D62" s="9" t="s">
        <v>152</v>
      </c>
      <c r="E62" s="10" t="s">
        <v>152</v>
      </c>
      <c r="F62" s="10" t="s">
        <v>45</v>
      </c>
      <c r="G62" s="10">
        <v>2022318</v>
      </c>
      <c r="H62" s="20">
        <v>8.5</v>
      </c>
      <c r="I62" s="10" t="s">
        <v>38</v>
      </c>
      <c r="J62" s="10" t="s">
        <v>35</v>
      </c>
      <c r="K62" s="10">
        <v>14462153</v>
      </c>
      <c r="L62" s="12">
        <f>WORKDAY.INTL(INT(TblPlanner[[#This Row],[CompletionTime]]), 6, 7)</f>
        <v>46068</v>
      </c>
      <c r="M62" s="12">
        <v>46007</v>
      </c>
      <c r="N62" s="10"/>
      <c r="O62" s="21"/>
    </row>
    <row r="63" spans="1:15">
      <c r="A63" s="7">
        <v>87</v>
      </c>
      <c r="B63" s="8">
        <v>46007.421319444446</v>
      </c>
      <c r="C63" s="9" t="s">
        <v>40</v>
      </c>
      <c r="D63" s="9" t="s">
        <v>41</v>
      </c>
      <c r="E63" s="10" t="s">
        <v>41</v>
      </c>
      <c r="F63" s="10" t="s">
        <v>135</v>
      </c>
      <c r="G63" s="10" t="s">
        <v>180</v>
      </c>
      <c r="H63" s="20">
        <v>6.125</v>
      </c>
      <c r="I63" s="10" t="s">
        <v>181</v>
      </c>
      <c r="J63" s="10" t="s">
        <v>35</v>
      </c>
      <c r="K63" s="10">
        <v>14247165</v>
      </c>
      <c r="L63" s="12">
        <f>WORKDAY.INTL(INT(TblPlanner[[#This Row],[CompletionTime]]), 6, 7)</f>
        <v>46068</v>
      </c>
      <c r="M63" s="12">
        <v>46008</v>
      </c>
      <c r="N63" s="10"/>
      <c r="O63" s="21"/>
    </row>
    <row r="64" spans="1:15">
      <c r="A64" s="7">
        <v>92</v>
      </c>
      <c r="B64" s="8">
        <v>46013.396956018521</v>
      </c>
      <c r="C64" s="9" t="s">
        <v>141</v>
      </c>
      <c r="D64" s="9" t="s">
        <v>204</v>
      </c>
      <c r="E64" s="10" t="s">
        <v>204</v>
      </c>
      <c r="F64" s="10" t="s">
        <v>33</v>
      </c>
      <c r="G64" s="10">
        <v>1267027</v>
      </c>
      <c r="H64" s="20">
        <v>8.375</v>
      </c>
      <c r="I64" s="10" t="s">
        <v>87</v>
      </c>
      <c r="J64" s="10" t="s">
        <v>35</v>
      </c>
      <c r="K64" s="10">
        <v>14478095</v>
      </c>
      <c r="L64" s="12">
        <f>WORKDAY.INTL(INT(TblPlanner[[#This Row],[CompletionTime]]), 6, 7)</f>
        <v>46068</v>
      </c>
      <c r="M64" s="12">
        <v>46014</v>
      </c>
      <c r="N64" s="10"/>
      <c r="O64" s="21"/>
    </row>
    <row r="65" spans="1:15">
      <c r="A65" s="7">
        <v>94</v>
      </c>
      <c r="B65" s="8">
        <v>46018.417881944442</v>
      </c>
      <c r="C65" s="9" t="s">
        <v>141</v>
      </c>
      <c r="D65" s="9" t="s">
        <v>142</v>
      </c>
      <c r="E65" s="10" t="s">
        <v>142</v>
      </c>
      <c r="F65" s="10" t="s">
        <v>33</v>
      </c>
      <c r="G65" s="10">
        <v>1192119</v>
      </c>
      <c r="H65" s="20">
        <v>8.375</v>
      </c>
      <c r="I65" s="10" t="s">
        <v>205</v>
      </c>
      <c r="J65" s="10" t="s">
        <v>35</v>
      </c>
      <c r="K65" s="10">
        <v>14491277</v>
      </c>
      <c r="L65" s="12">
        <f>WORKDAY.INTL(INT(TblPlanner[[#This Row],[CompletionTime]]), 6, 7)</f>
        <v>46068</v>
      </c>
      <c r="M65" s="12">
        <v>46020</v>
      </c>
      <c r="N65" s="10"/>
      <c r="O65" s="21"/>
    </row>
    <row r="66" spans="1:15">
      <c r="A66" s="7">
        <v>53</v>
      </c>
      <c r="B66" s="8">
        <v>45988.34170138889</v>
      </c>
      <c r="C66" s="9" t="s">
        <v>64</v>
      </c>
      <c r="D66" s="9" t="s">
        <v>139</v>
      </c>
      <c r="E66" s="10" t="s">
        <v>139</v>
      </c>
      <c r="F66" s="10" t="s">
        <v>66</v>
      </c>
      <c r="G66" s="10">
        <v>2028515</v>
      </c>
      <c r="H66" s="20">
        <v>8.375</v>
      </c>
      <c r="I66" s="10" t="s">
        <v>206</v>
      </c>
      <c r="J66" s="10" t="s">
        <v>35</v>
      </c>
      <c r="K66" s="10">
        <v>14476927</v>
      </c>
      <c r="L66" s="12">
        <f>WORKDAY.INTL(INT(TblPlanner[[#This Row],[CompletionTime]]), 6, 7)</f>
        <v>46068</v>
      </c>
      <c r="M66" s="12">
        <v>46007</v>
      </c>
      <c r="N66" s="10"/>
      <c r="O66" s="21"/>
    </row>
    <row r="67" spans="1:15">
      <c r="A67" s="7">
        <v>64</v>
      </c>
      <c r="B67" s="8">
        <v>45994.335625</v>
      </c>
      <c r="C67" s="9" t="s">
        <v>31</v>
      </c>
      <c r="D67" s="9" t="s">
        <v>44</v>
      </c>
      <c r="E67" s="10" t="s">
        <v>44</v>
      </c>
      <c r="F67" s="10" t="s">
        <v>45</v>
      </c>
      <c r="G67" s="10">
        <v>2022318</v>
      </c>
      <c r="H67" s="20">
        <v>8.5</v>
      </c>
      <c r="I67" s="10" t="s">
        <v>38</v>
      </c>
      <c r="J67" s="10" t="s">
        <v>35</v>
      </c>
      <c r="K67" s="10">
        <v>14462152</v>
      </c>
      <c r="L67" s="12">
        <f>WORKDAY.INTL(INT(TblPlanner[[#This Row],[CompletionTime]]), 6, 7)</f>
        <v>46068</v>
      </c>
      <c r="M67" s="12">
        <v>46000</v>
      </c>
      <c r="N67" s="10"/>
      <c r="O67" s="21"/>
    </row>
    <row r="68" spans="1:15">
      <c r="A68" s="7">
        <v>106</v>
      </c>
      <c r="B68" s="8">
        <v>46026.441458333335</v>
      </c>
      <c r="C68" s="9" t="s">
        <v>141</v>
      </c>
      <c r="D68" s="9" t="s">
        <v>142</v>
      </c>
      <c r="E68" s="10" t="s">
        <v>142</v>
      </c>
      <c r="F68" s="10" t="s">
        <v>33</v>
      </c>
      <c r="G68" s="10">
        <v>1248668</v>
      </c>
      <c r="H68" s="20">
        <v>17</v>
      </c>
      <c r="I68" s="10" t="s">
        <v>207</v>
      </c>
      <c r="J68" s="10" t="s">
        <v>35</v>
      </c>
      <c r="K68" s="10">
        <v>14247235</v>
      </c>
      <c r="L68" s="12" t="e">
        <f>WORKDAY.INTL(INT(TblPlanner[[#This Row],[CompletionTime]]), 6, 7)</f>
        <v>#VALUE!</v>
      </c>
      <c r="M68" s="12">
        <v>46027</v>
      </c>
      <c r="N68" s="10"/>
      <c r="O68" s="21"/>
    </row>
    <row r="69" spans="1:15">
      <c r="A69" s="7">
        <v>77</v>
      </c>
      <c r="B69" s="8">
        <v>46001.282789351855</v>
      </c>
      <c r="C69" s="9" t="s">
        <v>141</v>
      </c>
      <c r="D69" s="9" t="s">
        <v>208</v>
      </c>
      <c r="E69" s="10" t="s">
        <v>208</v>
      </c>
      <c r="F69" s="10" t="s">
        <v>209</v>
      </c>
      <c r="G69" s="10">
        <v>1246020</v>
      </c>
      <c r="H69" s="20">
        <v>8.375</v>
      </c>
      <c r="I69" s="10" t="s">
        <v>110</v>
      </c>
      <c r="J69" s="10" t="s">
        <v>35</v>
      </c>
      <c r="K69" s="10">
        <v>14442326</v>
      </c>
      <c r="L69" s="12" t="e">
        <f>WORKDAY.INTL(INT(TblPlanner[[#This Row],[CompletionTime]]), 6, 7)</f>
        <v>#VALUE!</v>
      </c>
      <c r="M69" s="12">
        <v>46005</v>
      </c>
      <c r="N69" s="12"/>
      <c r="O69" s="21"/>
    </row>
    <row r="70" spans="1:15">
      <c r="A70" s="7">
        <v>93</v>
      </c>
      <c r="B70" s="8">
        <v>46015.382615740738</v>
      </c>
      <c r="C70" s="9" t="s">
        <v>40</v>
      </c>
      <c r="D70" s="9" t="s">
        <v>41</v>
      </c>
      <c r="E70" s="10" t="s">
        <v>41</v>
      </c>
      <c r="F70" s="10" t="s">
        <v>135</v>
      </c>
      <c r="G70" s="10">
        <v>2019988</v>
      </c>
      <c r="H70" s="20">
        <v>16</v>
      </c>
      <c r="I70" s="10" t="s">
        <v>210</v>
      </c>
      <c r="J70" s="10" t="s">
        <v>35</v>
      </c>
      <c r="K70" s="10">
        <v>14478096</v>
      </c>
      <c r="L70" s="12" t="e">
        <f>WORKDAY.INTL(INT(TblPlanner[[#This Row],[CompletionTime]]), 6, 7)</f>
        <v>#VALUE!</v>
      </c>
      <c r="M70" s="12">
        <v>46019</v>
      </c>
      <c r="N70" s="12">
        <v>46023</v>
      </c>
      <c r="O70" s="21"/>
    </row>
    <row r="71" spans="1:15">
      <c r="A71" s="7">
        <v>95</v>
      </c>
      <c r="B71" s="8">
        <v>46019.416597222225</v>
      </c>
      <c r="C71" s="9" t="s">
        <v>141</v>
      </c>
      <c r="D71" s="9" t="s">
        <v>142</v>
      </c>
      <c r="E71" s="10" t="s">
        <v>142</v>
      </c>
      <c r="F71" s="10" t="s">
        <v>33</v>
      </c>
      <c r="G71" s="10">
        <v>1267027</v>
      </c>
      <c r="H71" s="20">
        <v>8.375</v>
      </c>
      <c r="I71" s="10" t="s">
        <v>87</v>
      </c>
      <c r="J71" s="10" t="s">
        <v>35</v>
      </c>
      <c r="K71" s="10">
        <v>14492188</v>
      </c>
      <c r="L71" s="12" t="e">
        <f>WORKDAY.INTL(INT(TblPlanner[[#This Row],[CompletionTime]]), 6, 7)</f>
        <v>#VALUE!</v>
      </c>
      <c r="M71" s="12">
        <v>46020</v>
      </c>
      <c r="N71" s="10"/>
      <c r="O71" s="21"/>
    </row>
    <row r="72" spans="1:15">
      <c r="A72" s="7">
        <v>96</v>
      </c>
      <c r="B72" s="8">
        <v>46019.416921296295</v>
      </c>
      <c r="C72" s="9" t="s">
        <v>141</v>
      </c>
      <c r="D72" s="9" t="s">
        <v>211</v>
      </c>
      <c r="E72" s="10" t="s">
        <v>211</v>
      </c>
      <c r="F72" s="10" t="s">
        <v>33</v>
      </c>
      <c r="G72" s="10">
        <v>1267027</v>
      </c>
      <c r="H72" s="20">
        <v>8.375</v>
      </c>
      <c r="I72" s="10" t="s">
        <v>87</v>
      </c>
      <c r="J72" s="10" t="s">
        <v>35</v>
      </c>
      <c r="K72" s="10">
        <v>14492189</v>
      </c>
      <c r="L72" s="12" t="e">
        <f>WORKDAY.INTL(INT(TblPlanner[[#This Row],[CompletionTime]]), 6, 7)</f>
        <v>#VALUE!</v>
      </c>
      <c r="M72" s="12">
        <v>46021</v>
      </c>
      <c r="N72" s="10"/>
      <c r="O72" s="21"/>
    </row>
    <row r="73" spans="1:15">
      <c r="A73" s="7">
        <v>104</v>
      </c>
      <c r="B73" s="8">
        <v>46023.51699074074</v>
      </c>
      <c r="C73" s="9" t="s">
        <v>15</v>
      </c>
      <c r="D73" s="9" t="s">
        <v>156</v>
      </c>
      <c r="E73" s="10" t="s">
        <v>156</v>
      </c>
      <c r="F73" s="10" t="s">
        <v>17</v>
      </c>
      <c r="G73" s="10">
        <v>1229062</v>
      </c>
      <c r="H73" s="20">
        <v>6.125</v>
      </c>
      <c r="I73" s="10" t="s">
        <v>212</v>
      </c>
      <c r="J73" s="10" t="s">
        <v>35</v>
      </c>
      <c r="K73" s="10">
        <v>13824398</v>
      </c>
      <c r="L73" s="12" t="e">
        <f>WORKDAY.INTL(INT(TblPlanner[[#This Row],[CompletionTime]]), 6, 7)</f>
        <v>#VALUE!</v>
      </c>
      <c r="M73" s="12">
        <v>46023</v>
      </c>
      <c r="N73" s="10"/>
      <c r="O73" s="21"/>
    </row>
    <row r="74" spans="1:15">
      <c r="A74" s="7">
        <v>97</v>
      </c>
      <c r="B74" s="8">
        <v>46019.417199074072</v>
      </c>
      <c r="C74" s="9" t="s">
        <v>141</v>
      </c>
      <c r="D74" s="9" t="s">
        <v>142</v>
      </c>
      <c r="E74" s="10" t="s">
        <v>142</v>
      </c>
      <c r="F74" s="10" t="s">
        <v>33</v>
      </c>
      <c r="G74" s="10">
        <v>1267027</v>
      </c>
      <c r="H74" s="20">
        <v>8.375</v>
      </c>
      <c r="I74" s="10" t="s">
        <v>87</v>
      </c>
      <c r="J74" s="10" t="s">
        <v>35</v>
      </c>
      <c r="K74" s="10">
        <v>14492190</v>
      </c>
      <c r="L74" s="12" t="e">
        <f>WORKDAY.INTL(INT(TblPlanner[[#This Row],[CompletionTime]]), 6, 7)</f>
        <v>#VALUE!</v>
      </c>
      <c r="M74" s="12">
        <v>46021</v>
      </c>
      <c r="N74" s="10"/>
      <c r="O74" s="21"/>
    </row>
    <row r="75" spans="1:15">
      <c r="A75" s="7">
        <v>105</v>
      </c>
      <c r="B75" s="8">
        <v>46026.30332175926</v>
      </c>
      <c r="C75" s="9" t="s">
        <v>40</v>
      </c>
      <c r="D75" s="9" t="s">
        <v>41</v>
      </c>
      <c r="E75" s="10" t="s">
        <v>41</v>
      </c>
      <c r="F75" s="10" t="s">
        <v>135</v>
      </c>
      <c r="G75" s="10" t="s">
        <v>213</v>
      </c>
      <c r="H75" s="20">
        <v>12.25</v>
      </c>
      <c r="I75" s="10" t="s">
        <v>214</v>
      </c>
      <c r="J75" s="10" t="s">
        <v>35</v>
      </c>
      <c r="K75" s="10">
        <v>14386456</v>
      </c>
      <c r="L75" s="12" t="e">
        <f>WORKDAY.INTL(INT(TblPlanner[[#This Row],[CompletionTime]]), 6, 7)</f>
        <v>#VALUE!</v>
      </c>
      <c r="M75" s="12">
        <v>46028</v>
      </c>
      <c r="N75" s="10"/>
      <c r="O75" s="21"/>
    </row>
    <row r="76" spans="1:15">
      <c r="A76" s="7">
        <v>98</v>
      </c>
      <c r="B76" s="8">
        <v>46020.353946759256</v>
      </c>
      <c r="C76" s="9" t="s">
        <v>161</v>
      </c>
      <c r="D76" s="9" t="s">
        <v>215</v>
      </c>
      <c r="E76" s="10" t="s">
        <v>215</v>
      </c>
      <c r="F76" s="10" t="s">
        <v>45</v>
      </c>
      <c r="G76" s="10">
        <v>1276939</v>
      </c>
      <c r="H76" s="20">
        <v>8.5</v>
      </c>
      <c r="I76" s="10" t="s">
        <v>38</v>
      </c>
      <c r="J76" s="10" t="s">
        <v>19</v>
      </c>
      <c r="K76" s="10">
        <v>14414029</v>
      </c>
      <c r="L76" s="12" t="e">
        <f>WORKDAY.INTL(INT(TblPlanner[[#This Row],[CompletionTime]]), 6, 7)</f>
        <v>#VALUE!</v>
      </c>
      <c r="M76" s="12"/>
      <c r="N76" s="10"/>
      <c r="O76" s="21"/>
    </row>
    <row r="77" spans="1:15">
      <c r="A77" s="7">
        <v>74</v>
      </c>
      <c r="B77" s="8">
        <v>45999.516076388885</v>
      </c>
      <c r="C77" s="9" t="s">
        <v>31</v>
      </c>
      <c r="D77" s="9" t="s">
        <v>44</v>
      </c>
      <c r="E77" s="10" t="s">
        <v>44</v>
      </c>
      <c r="F77" s="10" t="s">
        <v>45</v>
      </c>
      <c r="G77" s="10">
        <v>1267829</v>
      </c>
      <c r="H77" s="20">
        <v>8.5</v>
      </c>
      <c r="I77" s="10" t="s">
        <v>216</v>
      </c>
      <c r="J77" s="10" t="s">
        <v>19</v>
      </c>
      <c r="K77" s="10">
        <v>14337190</v>
      </c>
      <c r="L77" s="12" t="e">
        <f>WORKDAY.INTL(INT(TblPlanner[[#This Row],[CompletionTime]]), 6, 7)</f>
        <v>#VALUE!</v>
      </c>
      <c r="M77" s="10"/>
      <c r="N77" s="10"/>
      <c r="O77" s="21"/>
    </row>
    <row r="78" spans="1:15">
      <c r="A78" s="7">
        <v>100</v>
      </c>
      <c r="B78" s="8">
        <v>46023.344618055555</v>
      </c>
      <c r="C78" s="9" t="s">
        <v>161</v>
      </c>
      <c r="D78" s="9" t="s">
        <v>215</v>
      </c>
      <c r="E78" s="10" t="s">
        <v>215</v>
      </c>
      <c r="F78" s="10" t="s">
        <v>45</v>
      </c>
      <c r="G78" s="10">
        <v>1246939</v>
      </c>
      <c r="H78" s="20">
        <v>8.5</v>
      </c>
      <c r="I78" s="10" t="s">
        <v>38</v>
      </c>
      <c r="J78" s="10" t="s">
        <v>19</v>
      </c>
      <c r="K78" s="10">
        <v>14414030</v>
      </c>
      <c r="L78" s="12" t="e">
        <f>WORKDAY.INTL(INT(TblPlanner[[#This Row],[CompletionTime]]), 6, 7)</f>
        <v>#VALUE!</v>
      </c>
      <c r="M78" s="12"/>
      <c r="N78" s="12">
        <v>45670</v>
      </c>
      <c r="O78" s="21"/>
    </row>
    <row r="79" spans="1:15">
      <c r="A79" s="7">
        <v>110</v>
      </c>
      <c r="B79" s="8">
        <v>46027.429745370369</v>
      </c>
      <c r="C79" s="9" t="s">
        <v>31</v>
      </c>
      <c r="D79" s="9" t="s">
        <v>44</v>
      </c>
      <c r="E79" s="10" t="s">
        <v>44</v>
      </c>
      <c r="F79" s="10" t="s">
        <v>45</v>
      </c>
      <c r="G79" s="10">
        <v>1276939</v>
      </c>
      <c r="H79" s="20">
        <v>8.5</v>
      </c>
      <c r="I79" s="10" t="s">
        <v>38</v>
      </c>
      <c r="J79" s="10" t="s">
        <v>217</v>
      </c>
      <c r="K79" s="10" t="s">
        <v>218</v>
      </c>
      <c r="L79" s="12" t="e">
        <f>WORKDAY.INTL(INT(TblPlanner[[#This Row],[CompletionTime]]), 6, 7)</f>
        <v>#VALUE!</v>
      </c>
      <c r="M79" s="12"/>
      <c r="N79" s="10"/>
      <c r="O79" s="21"/>
    </row>
    <row r="80" spans="1:15">
      <c r="A80" s="7">
        <v>121</v>
      </c>
      <c r="B80" s="8">
        <v>46034.420127314814</v>
      </c>
      <c r="C80" s="9" t="s">
        <v>219</v>
      </c>
      <c r="D80" s="9" t="s">
        <v>220</v>
      </c>
      <c r="E80" s="10" t="s">
        <v>220</v>
      </c>
      <c r="F80" s="10" t="s">
        <v>33</v>
      </c>
      <c r="G80" s="10">
        <v>2028515</v>
      </c>
      <c r="H80" s="20">
        <v>8.375</v>
      </c>
      <c r="I80" s="10" t="s">
        <v>81</v>
      </c>
      <c r="J80" s="10" t="s">
        <v>35</v>
      </c>
      <c r="K80" s="10">
        <v>14476929</v>
      </c>
      <c r="L80" s="12" t="e">
        <f>WORKDAY.INTL(INT(TblPlanner[[#This Row],[CompletionTime]]), 6, 7)</f>
        <v>#VALUE!</v>
      </c>
      <c r="M80" s="12">
        <v>46035</v>
      </c>
      <c r="N80" s="12">
        <v>46037</v>
      </c>
      <c r="O80" s="21"/>
    </row>
    <row r="81" spans="1:15">
      <c r="A81" s="7">
        <v>17</v>
      </c>
      <c r="B81" s="8">
        <v>45966.415694444448</v>
      </c>
      <c r="C81" s="9" t="s">
        <v>40</v>
      </c>
      <c r="D81" s="9" t="s">
        <v>41</v>
      </c>
      <c r="E81" s="10" t="s">
        <v>41</v>
      </c>
      <c r="F81" s="10" t="s">
        <v>135</v>
      </c>
      <c r="G81" s="10">
        <v>2013542</v>
      </c>
      <c r="H81" s="20">
        <v>8.5</v>
      </c>
      <c r="I81" s="10" t="s">
        <v>221</v>
      </c>
      <c r="J81" s="10" t="s">
        <v>35</v>
      </c>
      <c r="K81" s="10">
        <v>14462156</v>
      </c>
      <c r="L81" s="12" t="e">
        <f>WORKDAY.INTL(INT(TblPlanner[[#This Row],[CompletionTime]]), 6, 7)</f>
        <v>#VALUE!</v>
      </c>
      <c r="M81" s="12">
        <v>46026</v>
      </c>
      <c r="N81" s="12">
        <v>45671</v>
      </c>
      <c r="O81" s="30"/>
    </row>
    <row r="82" spans="1:15">
      <c r="A82" s="7">
        <v>99</v>
      </c>
      <c r="B82" s="8">
        <v>46020.367118055554</v>
      </c>
      <c r="C82" s="9" t="s">
        <v>161</v>
      </c>
      <c r="D82" s="9" t="s">
        <v>215</v>
      </c>
      <c r="E82" s="10" t="s">
        <v>215</v>
      </c>
      <c r="F82" s="10" t="s">
        <v>45</v>
      </c>
      <c r="G82" s="10">
        <v>1276939</v>
      </c>
      <c r="H82" s="20">
        <v>8.5</v>
      </c>
      <c r="I82" s="10" t="s">
        <v>38</v>
      </c>
      <c r="J82" s="10" t="s">
        <v>19</v>
      </c>
      <c r="K82" s="10" t="s">
        <v>222</v>
      </c>
      <c r="L82" s="12" t="e">
        <f>WORKDAY.INTL(INT(TblPlanner[[#This Row],[CompletionTime]]), 6, 7)</f>
        <v>#VALUE!</v>
      </c>
      <c r="M82" s="12">
        <v>46019</v>
      </c>
      <c r="N82" s="12">
        <v>46036</v>
      </c>
      <c r="O82" s="21"/>
    </row>
    <row r="83" spans="1:15">
      <c r="A83" s="7">
        <v>107</v>
      </c>
      <c r="B83" s="8">
        <v>46027.245219907411</v>
      </c>
      <c r="C83" s="9" t="s">
        <v>64</v>
      </c>
      <c r="D83" s="9" t="s">
        <v>85</v>
      </c>
      <c r="E83" s="10" t="s">
        <v>85</v>
      </c>
      <c r="F83" s="10" t="s">
        <v>66</v>
      </c>
      <c r="G83" s="10" t="s">
        <v>223</v>
      </c>
      <c r="H83" s="20">
        <v>16</v>
      </c>
      <c r="I83" s="10" t="s">
        <v>224</v>
      </c>
      <c r="J83" s="10" t="s">
        <v>54</v>
      </c>
      <c r="K83" s="10">
        <v>14073969</v>
      </c>
      <c r="L83" s="12" t="e">
        <f>WORKDAY.INTL(INT(TblPlanner[[#This Row],[CompletionTime]]), 6, 7)</f>
        <v>#VALUE!</v>
      </c>
      <c r="M83" s="12">
        <v>46035</v>
      </c>
      <c r="N83" s="12">
        <v>46037</v>
      </c>
      <c r="O83" s="21"/>
    </row>
    <row r="84" spans="1:15">
      <c r="A84" s="7">
        <v>108</v>
      </c>
      <c r="B84" s="8">
        <v>46027.320300925923</v>
      </c>
      <c r="C84" s="9" t="s">
        <v>64</v>
      </c>
      <c r="D84" s="9" t="s">
        <v>65</v>
      </c>
      <c r="E84" s="10" t="s">
        <v>65</v>
      </c>
      <c r="F84" s="10" t="s">
        <v>66</v>
      </c>
      <c r="G84" s="10">
        <v>1228690</v>
      </c>
      <c r="H84" s="20">
        <v>3.625</v>
      </c>
      <c r="I84" s="10" t="s">
        <v>165</v>
      </c>
      <c r="J84" s="10" t="s">
        <v>35</v>
      </c>
      <c r="K84" s="10">
        <v>14418427</v>
      </c>
      <c r="L84" s="12" t="e">
        <f>WORKDAY.INTL(INT(TblPlanner[[#This Row],[CompletionTime]]), 6, 7)</f>
        <v>#VALUE!</v>
      </c>
      <c r="M84" s="12">
        <v>45664</v>
      </c>
      <c r="N84" s="12">
        <v>46036</v>
      </c>
      <c r="O84" s="30"/>
    </row>
    <row r="85" spans="1:15">
      <c r="A85" s="7">
        <v>113</v>
      </c>
      <c r="B85" s="8">
        <v>46028.401342592595</v>
      </c>
      <c r="C85" s="9" t="s">
        <v>31</v>
      </c>
      <c r="D85" s="9" t="s">
        <v>44</v>
      </c>
      <c r="E85" s="10" t="s">
        <v>44</v>
      </c>
      <c r="F85" s="10" t="s">
        <v>45</v>
      </c>
      <c r="G85" s="10">
        <v>2022318</v>
      </c>
      <c r="H85" s="20">
        <v>8.5</v>
      </c>
      <c r="I85" s="10" t="s">
        <v>38</v>
      </c>
      <c r="J85" s="10" t="s">
        <v>35</v>
      </c>
      <c r="K85" s="10">
        <v>14488517</v>
      </c>
      <c r="L85" s="12" t="e">
        <f>WORKDAY.INTL(INT(TblPlanner[[#This Row],[CompletionTime]]), 6, 7)</f>
        <v>#VALUE!</v>
      </c>
      <c r="M85" s="12">
        <v>46030</v>
      </c>
      <c r="N85" s="12">
        <v>46036</v>
      </c>
      <c r="O85" s="21"/>
    </row>
    <row r="86" spans="1:15">
      <c r="A86" s="7">
        <v>130</v>
      </c>
      <c r="B86" s="8">
        <v>46037.612118055556</v>
      </c>
      <c r="C86" s="9" t="s">
        <v>15</v>
      </c>
      <c r="D86" s="9" t="s">
        <v>225</v>
      </c>
      <c r="E86" s="10" t="s">
        <v>225</v>
      </c>
      <c r="F86" s="10" t="s">
        <v>17</v>
      </c>
      <c r="G86" s="10">
        <v>1252149</v>
      </c>
      <c r="H86" s="20">
        <v>3.875</v>
      </c>
      <c r="I86" s="10" t="s">
        <v>22</v>
      </c>
      <c r="J86" s="10" t="s">
        <v>19</v>
      </c>
      <c r="K86" s="10" t="s">
        <v>226</v>
      </c>
      <c r="L86" s="12" t="e">
        <f>WORKDAY.INTL(INT(TblPlanner[[#This Row],[CompletionTime]]), 6, 7)</f>
        <v>#VALUE!</v>
      </c>
      <c r="M86" s="12">
        <v>46035</v>
      </c>
      <c r="N86" s="12"/>
      <c r="O86" s="21"/>
    </row>
    <row r="87" spans="1:15">
      <c r="A87" s="7">
        <v>101</v>
      </c>
      <c r="B87" s="8">
        <v>46023.351574074077</v>
      </c>
      <c r="C87" s="9" t="s">
        <v>161</v>
      </c>
      <c r="D87" s="9" t="s">
        <v>215</v>
      </c>
      <c r="E87" s="10" t="s">
        <v>215</v>
      </c>
      <c r="F87" s="10" t="s">
        <v>45</v>
      </c>
      <c r="G87" s="10">
        <v>1276939</v>
      </c>
      <c r="H87" s="20">
        <v>8.5</v>
      </c>
      <c r="I87" s="10" t="s">
        <v>38</v>
      </c>
      <c r="J87" s="10" t="s">
        <v>19</v>
      </c>
      <c r="K87" s="10" t="s">
        <v>227</v>
      </c>
      <c r="L87" s="12" t="e">
        <f>WORKDAY.INTL(INT(TblPlanner[[#This Row],[CompletionTime]]), 6, 7)</f>
        <v>#VALUE!</v>
      </c>
      <c r="M87" s="12">
        <v>46023</v>
      </c>
      <c r="N87" s="12">
        <v>46036</v>
      </c>
      <c r="O87" s="21"/>
    </row>
    <row r="88" spans="1:15">
      <c r="A88" s="7">
        <v>134</v>
      </c>
      <c r="B88" s="8">
        <v>46040.344143518516</v>
      </c>
      <c r="C88" s="9" t="s">
        <v>31</v>
      </c>
      <c r="D88" s="9" t="s">
        <v>44</v>
      </c>
      <c r="E88" s="10" t="s">
        <v>44</v>
      </c>
      <c r="F88" s="10" t="s">
        <v>45</v>
      </c>
      <c r="G88" s="10">
        <v>1276939</v>
      </c>
      <c r="H88" s="20">
        <v>8.5</v>
      </c>
      <c r="I88" s="10" t="s">
        <v>38</v>
      </c>
      <c r="J88" s="10" t="s">
        <v>19</v>
      </c>
      <c r="K88" s="10" t="s">
        <v>228</v>
      </c>
      <c r="L88" s="12" t="e">
        <f>WORKDAY.INTL(INT(TblPlanner[[#This Row],[CompletionTime]]), 6, 7)</f>
        <v>#VALUE!</v>
      </c>
      <c r="M88" s="12">
        <v>46040</v>
      </c>
      <c r="N88" s="12"/>
      <c r="O88" s="21"/>
    </row>
    <row r="89" spans="1:15">
      <c r="A89" s="7">
        <v>102</v>
      </c>
      <c r="B89" s="8">
        <v>46023.355092592596</v>
      </c>
      <c r="C89" s="9" t="s">
        <v>161</v>
      </c>
      <c r="D89" s="9" t="s">
        <v>215</v>
      </c>
      <c r="E89" s="10" t="s">
        <v>215</v>
      </c>
      <c r="F89" s="10" t="s">
        <v>45</v>
      </c>
      <c r="G89" s="10">
        <v>1276939</v>
      </c>
      <c r="H89" s="20">
        <v>8.5</v>
      </c>
      <c r="I89" s="10" t="s">
        <v>38</v>
      </c>
      <c r="J89" s="10" t="s">
        <v>19</v>
      </c>
      <c r="K89" s="10" t="s">
        <v>167</v>
      </c>
      <c r="L89" s="12" t="e">
        <f>WORKDAY.INTL(INT(TblPlanner[[#This Row],[CompletionTime]]), 6, 7)</f>
        <v>#VALUE!</v>
      </c>
      <c r="M89" s="12">
        <v>46023</v>
      </c>
      <c r="N89" s="12">
        <v>46041</v>
      </c>
      <c r="O89" s="31" t="s">
        <v>229</v>
      </c>
    </row>
    <row r="90" spans="1:15">
      <c r="A90" s="7">
        <v>114</v>
      </c>
      <c r="B90" s="8">
        <v>46028.401747685188</v>
      </c>
      <c r="C90" s="9" t="s">
        <v>31</v>
      </c>
      <c r="D90" s="9" t="s">
        <v>44</v>
      </c>
      <c r="E90" s="10" t="s">
        <v>44</v>
      </c>
      <c r="F90" s="10" t="s">
        <v>45</v>
      </c>
      <c r="G90" s="10">
        <v>2022318</v>
      </c>
      <c r="H90" s="20">
        <v>8.5</v>
      </c>
      <c r="I90" s="10" t="s">
        <v>38</v>
      </c>
      <c r="J90" s="10" t="s">
        <v>35</v>
      </c>
      <c r="K90" s="10">
        <v>14488518</v>
      </c>
      <c r="L90" s="12" t="e">
        <f>WORKDAY.INTL(INT(TblPlanner[[#This Row],[CompletionTime]]), 6, 7)</f>
        <v>#VALUE!</v>
      </c>
      <c r="M90" s="12">
        <v>46030</v>
      </c>
      <c r="N90" s="12">
        <v>46041</v>
      </c>
      <c r="O90" s="21"/>
    </row>
    <row r="91" spans="1:15">
      <c r="A91" s="7">
        <v>112</v>
      </c>
      <c r="B91" s="8">
        <v>46028.312303240738</v>
      </c>
      <c r="C91" s="9" t="s">
        <v>64</v>
      </c>
      <c r="D91" s="9" t="s">
        <v>65</v>
      </c>
      <c r="E91" s="10" t="s">
        <v>65</v>
      </c>
      <c r="F91" s="10" t="s">
        <v>66</v>
      </c>
      <c r="G91" s="10">
        <v>2028515</v>
      </c>
      <c r="H91" s="20">
        <v>8.375</v>
      </c>
      <c r="I91" s="10" t="s">
        <v>81</v>
      </c>
      <c r="J91" s="10" t="s">
        <v>35</v>
      </c>
      <c r="K91" s="10">
        <v>14476928</v>
      </c>
      <c r="L91" s="12" t="e">
        <f>WORKDAY.INTL(INT(TblPlanner[[#This Row],[CompletionTime]]), 6, 7)</f>
        <v>#VALUE!</v>
      </c>
      <c r="M91" s="12">
        <v>45664</v>
      </c>
      <c r="N91" s="12">
        <v>46041</v>
      </c>
      <c r="O91" s="21"/>
    </row>
    <row r="92" spans="1:15">
      <c r="A92" s="7">
        <v>116</v>
      </c>
      <c r="B92" s="8">
        <v>46030.350740740738</v>
      </c>
      <c r="C92" s="9" t="s">
        <v>31</v>
      </c>
      <c r="D92" s="9" t="s">
        <v>44</v>
      </c>
      <c r="E92" s="10" t="s">
        <v>44</v>
      </c>
      <c r="F92" s="10" t="s">
        <v>45</v>
      </c>
      <c r="G92" s="10">
        <v>1276939</v>
      </c>
      <c r="H92" s="20">
        <v>8.5</v>
      </c>
      <c r="I92" s="10" t="s">
        <v>38</v>
      </c>
      <c r="J92" s="10" t="s">
        <v>19</v>
      </c>
      <c r="K92" s="10">
        <v>14414028</v>
      </c>
      <c r="L92" s="12" t="e">
        <f>WORKDAY.INTL(INT(TblPlanner[[#This Row],[CompletionTime]]), 6, 7)</f>
        <v>#VALUE!</v>
      </c>
      <c r="M92" s="12">
        <v>46029</v>
      </c>
      <c r="N92" s="12">
        <v>46041</v>
      </c>
      <c r="O92" s="21" t="s">
        <v>230</v>
      </c>
    </row>
    <row r="93" spans="1:15">
      <c r="A93" s="7">
        <v>122</v>
      </c>
      <c r="B93" s="8">
        <v>46036.467407407406</v>
      </c>
      <c r="C93" s="9" t="s">
        <v>31</v>
      </c>
      <c r="D93" s="9" t="s">
        <v>44</v>
      </c>
      <c r="E93" s="10" t="s">
        <v>44</v>
      </c>
      <c r="F93" s="10" t="s">
        <v>45</v>
      </c>
      <c r="G93" s="10">
        <v>1276939</v>
      </c>
      <c r="H93" s="20">
        <v>8.5</v>
      </c>
      <c r="I93" s="10" t="s">
        <v>38</v>
      </c>
      <c r="J93" s="10" t="s">
        <v>19</v>
      </c>
      <c r="K93" s="10" t="s">
        <v>231</v>
      </c>
      <c r="L93" s="12" t="e">
        <f>WORKDAY.INTL(INT(TblPlanner[[#This Row],[CompletionTime]]), 6, 7)</f>
        <v>#VALUE!</v>
      </c>
      <c r="M93" s="12">
        <v>46036</v>
      </c>
      <c r="N93" s="12"/>
      <c r="O93" s="21" t="s">
        <v>232</v>
      </c>
    </row>
    <row r="94" spans="1:15">
      <c r="A94" s="7">
        <v>118</v>
      </c>
      <c r="B94" s="8">
        <v>46030.419594907406</v>
      </c>
      <c r="C94" s="9" t="s">
        <v>15</v>
      </c>
      <c r="D94" s="9" t="s">
        <v>16</v>
      </c>
      <c r="E94" s="10" t="s">
        <v>16</v>
      </c>
      <c r="F94" s="10" t="s">
        <v>17</v>
      </c>
      <c r="G94" s="10">
        <v>1145824</v>
      </c>
      <c r="H94" s="20">
        <v>6.125</v>
      </c>
      <c r="I94" s="10" t="s">
        <v>125</v>
      </c>
      <c r="J94" s="10" t="s">
        <v>35</v>
      </c>
      <c r="K94" s="10">
        <v>14431435</v>
      </c>
      <c r="L94" s="12" t="e">
        <f>WORKDAY.INTL(INT(TblPlanner[[#This Row],[CompletionTime]]), 6, 7)</f>
        <v>#VALUE!</v>
      </c>
      <c r="M94" s="12">
        <v>46035</v>
      </c>
      <c r="N94" s="12">
        <v>46044</v>
      </c>
      <c r="O94" s="21"/>
    </row>
    <row r="95" spans="1:15">
      <c r="A95" s="7">
        <v>103</v>
      </c>
      <c r="B95" s="8">
        <v>46023.36954861111</v>
      </c>
      <c r="C95" s="9" t="s">
        <v>161</v>
      </c>
      <c r="D95" s="9" t="s">
        <v>215</v>
      </c>
      <c r="E95" s="10" t="s">
        <v>215</v>
      </c>
      <c r="F95" s="10" t="s">
        <v>45</v>
      </c>
      <c r="G95" s="10">
        <v>1267829</v>
      </c>
      <c r="H95" s="20">
        <v>8.5</v>
      </c>
      <c r="I95" s="10" t="s">
        <v>216</v>
      </c>
      <c r="J95" s="10" t="s">
        <v>19</v>
      </c>
      <c r="K95" s="10" t="s">
        <v>233</v>
      </c>
      <c r="L95" s="12" t="e">
        <f>WORKDAY.INTL(INT(TblPlanner[[#This Row],[CompletionTime]]), 6, 7)</f>
        <v>#VALUE!</v>
      </c>
      <c r="M95" s="12">
        <v>46023</v>
      </c>
      <c r="N95" s="12">
        <v>46042</v>
      </c>
      <c r="O95" s="21" t="s">
        <v>234</v>
      </c>
    </row>
    <row r="96" spans="1:15">
      <c r="A96" s="7">
        <v>111</v>
      </c>
      <c r="B96" s="8">
        <v>46027.430393518516</v>
      </c>
      <c r="C96" s="9" t="s">
        <v>31</v>
      </c>
      <c r="D96" s="9" t="s">
        <v>44</v>
      </c>
      <c r="E96" s="10" t="s">
        <v>44</v>
      </c>
      <c r="F96" s="10" t="s">
        <v>45</v>
      </c>
      <c r="G96" s="10">
        <v>1276939</v>
      </c>
      <c r="H96" s="20">
        <v>8.5</v>
      </c>
      <c r="I96" s="10" t="s">
        <v>38</v>
      </c>
      <c r="J96" s="10" t="s">
        <v>19</v>
      </c>
      <c r="K96" s="10" t="s">
        <v>235</v>
      </c>
      <c r="L96" s="12" t="e">
        <f>WORKDAY.INTL(INT(TblPlanner[[#This Row],[CompletionTime]]), 6, 7)</f>
        <v>#VALUE!</v>
      </c>
      <c r="M96" s="12">
        <v>46022</v>
      </c>
      <c r="N96" s="12">
        <v>46044</v>
      </c>
      <c r="O96" s="21" t="s">
        <v>236</v>
      </c>
    </row>
    <row r="97" spans="1:15">
      <c r="A97" s="7">
        <v>115</v>
      </c>
      <c r="B97" s="8">
        <v>46029.29587962963</v>
      </c>
      <c r="C97" s="9" t="s">
        <v>82</v>
      </c>
      <c r="D97" s="10" t="s">
        <v>237</v>
      </c>
      <c r="E97" s="10" t="s">
        <v>237</v>
      </c>
      <c r="F97" s="10" t="s">
        <v>42</v>
      </c>
      <c r="G97" s="10">
        <v>1267122</v>
      </c>
      <c r="H97" s="20">
        <v>12.25</v>
      </c>
      <c r="I97" s="10" t="s">
        <v>84</v>
      </c>
      <c r="J97" s="10" t="s">
        <v>35</v>
      </c>
      <c r="K97" s="10">
        <v>14442332</v>
      </c>
      <c r="L97" s="12" t="e">
        <f>WORKDAY.INTL(INT(TblPlanner[[#This Row],[CompletionTime]]), 6, 7)</f>
        <v>#VALUE!</v>
      </c>
      <c r="M97" s="12">
        <v>46034</v>
      </c>
      <c r="N97" s="12">
        <v>46049</v>
      </c>
      <c r="O97" s="21" t="s">
        <v>238</v>
      </c>
    </row>
    <row r="98" spans="1:15">
      <c r="A98" s="23">
        <v>151</v>
      </c>
      <c r="B98" s="24">
        <v>46042.453865740739</v>
      </c>
      <c r="C98" s="25" t="s">
        <v>31</v>
      </c>
      <c r="D98" s="10" t="s">
        <v>44</v>
      </c>
      <c r="E98" s="10" t="s">
        <v>44</v>
      </c>
      <c r="F98" s="10" t="s">
        <v>45</v>
      </c>
      <c r="G98" s="10">
        <v>1276939</v>
      </c>
      <c r="H98" s="20">
        <v>8.5</v>
      </c>
      <c r="I98" s="10" t="s">
        <v>38</v>
      </c>
      <c r="J98" s="10" t="s">
        <v>19</v>
      </c>
      <c r="K98" s="10" t="s">
        <v>228</v>
      </c>
      <c r="L98" s="12" t="e">
        <f>WORKDAY.INTL(INT(TblPlanner[[#This Row],[CompletionTime]]), 6, 7)</f>
        <v>#VALUE!</v>
      </c>
      <c r="M98" s="12">
        <v>46044</v>
      </c>
      <c r="N98" s="12"/>
      <c r="O98" s="21" t="s">
        <v>239</v>
      </c>
    </row>
    <row r="99" spans="1:15">
      <c r="A99" s="23">
        <v>117</v>
      </c>
      <c r="B99" s="24">
        <v>46030.419120370374</v>
      </c>
      <c r="C99" s="9" t="s">
        <v>15</v>
      </c>
      <c r="D99" s="10" t="s">
        <v>156</v>
      </c>
      <c r="E99" s="10" t="s">
        <v>156</v>
      </c>
      <c r="F99" s="10" t="s">
        <v>17</v>
      </c>
      <c r="G99" s="10">
        <v>1145824</v>
      </c>
      <c r="H99" s="20">
        <v>6.125</v>
      </c>
      <c r="I99" s="10" t="s">
        <v>125</v>
      </c>
      <c r="J99" s="10" t="s">
        <v>35</v>
      </c>
      <c r="K99" s="10">
        <v>14431434</v>
      </c>
      <c r="L99" s="12" t="e">
        <f>WORKDAY.INTL(INT(TblPlanner[[#This Row],[CompletionTime]]), 6, 7)</f>
        <v>#VALUE!</v>
      </c>
      <c r="M99" s="12">
        <v>46034</v>
      </c>
      <c r="N99" s="12">
        <v>46044</v>
      </c>
      <c r="O99" s="21"/>
    </row>
    <row r="100" spans="1:15">
      <c r="A100" s="23">
        <v>133</v>
      </c>
      <c r="B100" s="24">
        <v>46040.288645833331</v>
      </c>
      <c r="C100" s="9" t="s">
        <v>141</v>
      </c>
      <c r="D100" s="10" t="s">
        <v>142</v>
      </c>
      <c r="E100" s="10" t="s">
        <v>142</v>
      </c>
      <c r="F100" s="10" t="s">
        <v>33</v>
      </c>
      <c r="G100" s="10">
        <v>1192119</v>
      </c>
      <c r="H100" s="20">
        <v>8.375</v>
      </c>
      <c r="I100" s="10" t="s">
        <v>205</v>
      </c>
      <c r="J100" s="10" t="s">
        <v>35</v>
      </c>
      <c r="K100" s="10">
        <v>14491278</v>
      </c>
      <c r="L100" s="12" t="e">
        <f>WORKDAY.INTL(INT(TblPlanner[[#This Row],[CompletionTime]]), 6, 7)</f>
        <v>#VALUE!</v>
      </c>
      <c r="M100" s="12">
        <v>46040</v>
      </c>
      <c r="N100" s="12"/>
      <c r="O100" s="21"/>
    </row>
    <row r="101" spans="1:15">
      <c r="A101" s="23">
        <v>124</v>
      </c>
      <c r="B101" s="24">
        <v>46036.534525462965</v>
      </c>
      <c r="C101" s="9" t="s">
        <v>82</v>
      </c>
      <c r="D101" s="10" t="s">
        <v>237</v>
      </c>
      <c r="E101" s="10" t="s">
        <v>237</v>
      </c>
      <c r="F101" s="10" t="s">
        <v>42</v>
      </c>
      <c r="G101" s="10">
        <v>1267122</v>
      </c>
      <c r="H101" s="20">
        <v>12.25</v>
      </c>
      <c r="I101" s="10" t="s">
        <v>84</v>
      </c>
      <c r="J101" s="10" t="s">
        <v>35</v>
      </c>
      <c r="K101" s="10">
        <v>14462459</v>
      </c>
      <c r="L101" s="12" t="e">
        <f>WORKDAY.INTL(INT(TblPlanner[[#This Row],[CompletionTime]]), 6, 7)</f>
        <v>#VALUE!</v>
      </c>
      <c r="M101" s="12">
        <v>46037</v>
      </c>
      <c r="N101" s="12">
        <v>46048</v>
      </c>
      <c r="O101" s="21" t="s">
        <v>240</v>
      </c>
    </row>
    <row r="102" spans="1:15">
      <c r="A102" s="23">
        <v>144</v>
      </c>
      <c r="B102" s="24">
        <v>46041.311805555553</v>
      </c>
      <c r="C102" s="9" t="s">
        <v>64</v>
      </c>
      <c r="D102" s="10" t="s">
        <v>65</v>
      </c>
      <c r="E102" s="10" t="s">
        <v>65</v>
      </c>
      <c r="F102" s="10" t="s">
        <v>66</v>
      </c>
      <c r="G102" s="10">
        <v>2016920</v>
      </c>
      <c r="H102" s="20">
        <v>3.625</v>
      </c>
      <c r="I102" s="10" t="s">
        <v>173</v>
      </c>
      <c r="J102" s="10" t="s">
        <v>35</v>
      </c>
      <c r="K102" s="10">
        <v>14489655</v>
      </c>
      <c r="L102" s="12" t="e">
        <f>WORKDAY.INTL(INT(TblPlanner[[#This Row],[CompletionTime]]), 6, 7)</f>
        <v>#VALUE!</v>
      </c>
      <c r="M102" s="12">
        <v>46042</v>
      </c>
      <c r="N102" s="12"/>
      <c r="O102" s="21"/>
    </row>
    <row r="103" spans="1:15">
      <c r="A103" s="23">
        <v>123</v>
      </c>
      <c r="B103" s="24">
        <v>46036.502453703702</v>
      </c>
      <c r="C103" s="25" t="s">
        <v>31</v>
      </c>
      <c r="D103" s="10" t="s">
        <v>44</v>
      </c>
      <c r="E103" s="10" t="s">
        <v>44</v>
      </c>
      <c r="F103" s="10" t="s">
        <v>45</v>
      </c>
      <c r="G103" s="10">
        <v>2019412</v>
      </c>
      <c r="H103" s="20">
        <v>8.5</v>
      </c>
      <c r="I103" s="10" t="s">
        <v>241</v>
      </c>
      <c r="J103" s="10" t="s">
        <v>242</v>
      </c>
      <c r="K103" s="10">
        <v>14346619</v>
      </c>
      <c r="L103" s="12" t="e">
        <f>WORKDAY.INTL(INT(TblPlanner[[#This Row],[CompletionTime]]), 6, 7)</f>
        <v>#VALUE!</v>
      </c>
      <c r="M103" s="12"/>
      <c r="N103" s="12"/>
      <c r="O103" s="21" t="s">
        <v>243</v>
      </c>
    </row>
    <row r="104" spans="1:15">
      <c r="A104" s="23">
        <v>153</v>
      </c>
      <c r="B104" s="24">
        <v>46042.455381944441</v>
      </c>
      <c r="C104" s="9" t="s">
        <v>31</v>
      </c>
      <c r="D104" s="10" t="s">
        <v>44</v>
      </c>
      <c r="E104" s="10" t="s">
        <v>44</v>
      </c>
      <c r="F104" s="10" t="s">
        <v>33</v>
      </c>
      <c r="G104" s="10">
        <v>2022318</v>
      </c>
      <c r="H104" s="20">
        <v>8.5</v>
      </c>
      <c r="I104" s="10" t="s">
        <v>38</v>
      </c>
      <c r="J104" s="10" t="s">
        <v>35</v>
      </c>
      <c r="K104" s="10">
        <v>14487985</v>
      </c>
      <c r="L104" s="12" t="e">
        <f>WORKDAY.INTL(INT(TblPlanner[[#This Row],[CompletionTime]]), 6, 7)</f>
        <v>#VALUE!</v>
      </c>
      <c r="M104" s="12">
        <v>46047</v>
      </c>
      <c r="N104" s="12"/>
      <c r="O104" s="21"/>
    </row>
    <row r="105" spans="1:15">
      <c r="A105" s="23">
        <v>155</v>
      </c>
      <c r="B105" s="24">
        <v>46044.460138888891</v>
      </c>
      <c r="C105" s="25" t="s">
        <v>31</v>
      </c>
      <c r="D105" s="10" t="s">
        <v>44</v>
      </c>
      <c r="E105" s="10" t="s">
        <v>44</v>
      </c>
      <c r="F105" s="10" t="s">
        <v>45</v>
      </c>
      <c r="G105" s="10">
        <v>1276939</v>
      </c>
      <c r="H105" s="20">
        <v>8.5</v>
      </c>
      <c r="I105" s="10" t="s">
        <v>38</v>
      </c>
      <c r="J105" s="10" t="s">
        <v>19</v>
      </c>
      <c r="K105" s="10">
        <v>14462152</v>
      </c>
      <c r="L105" s="12" t="e">
        <f>WORKDAY.INTL(INT(TblPlanner[[#This Row],[CompletionTime]]), 6, 7)</f>
        <v>#VALUE!</v>
      </c>
      <c r="M105" s="12"/>
      <c r="N105" s="12"/>
      <c r="O105" s="21" t="s">
        <v>244</v>
      </c>
    </row>
    <row r="106" spans="1:15">
      <c r="A106" s="23">
        <v>135</v>
      </c>
      <c r="B106" s="24">
        <v>46040.373020833336</v>
      </c>
      <c r="C106" s="9" t="s">
        <v>15</v>
      </c>
      <c r="D106" s="10" t="s">
        <v>16</v>
      </c>
      <c r="E106" s="10" t="s">
        <v>16</v>
      </c>
      <c r="F106" s="10" t="s">
        <v>17</v>
      </c>
      <c r="G106" s="10" t="s">
        <v>124</v>
      </c>
      <c r="H106" s="20">
        <v>6.125</v>
      </c>
      <c r="I106" s="10" t="s">
        <v>125</v>
      </c>
      <c r="J106" s="10" t="s">
        <v>19</v>
      </c>
      <c r="K106" s="10" t="s">
        <v>159</v>
      </c>
      <c r="L106" s="12" t="e">
        <f>WORKDAY.INTL(INT(TblPlanner[[#This Row],[CompletionTime]]), 6, 7)</f>
        <v>#VALUE!</v>
      </c>
      <c r="M106" s="12">
        <v>46040</v>
      </c>
      <c r="N106" s="12"/>
      <c r="O106" s="21" t="s">
        <v>154</v>
      </c>
    </row>
    <row r="107" spans="1:15">
      <c r="A107" s="23">
        <v>142</v>
      </c>
      <c r="B107" s="24">
        <v>46041.303368055553</v>
      </c>
      <c r="C107" s="9" t="s">
        <v>64</v>
      </c>
      <c r="D107" s="10" t="s">
        <v>85</v>
      </c>
      <c r="E107" s="10" t="s">
        <v>85</v>
      </c>
      <c r="F107" s="10" t="s">
        <v>66</v>
      </c>
      <c r="G107" s="10">
        <v>1058252</v>
      </c>
      <c r="H107" s="20">
        <v>16</v>
      </c>
      <c r="I107" s="10" t="s">
        <v>28</v>
      </c>
      <c r="J107" s="10" t="s">
        <v>35</v>
      </c>
      <c r="K107" s="10">
        <v>14196040</v>
      </c>
      <c r="L107" s="12" t="e">
        <f>WORKDAY.INTL(INT(TblPlanner[[#This Row],[CompletionTime]]), 6, 7)</f>
        <v>#VALUE!</v>
      </c>
      <c r="M107" s="12">
        <v>46044</v>
      </c>
      <c r="N107" s="12">
        <v>46049</v>
      </c>
      <c r="O107" s="21"/>
    </row>
    <row r="108" spans="1:15">
      <c r="A108" s="23">
        <v>148</v>
      </c>
      <c r="B108" s="24">
        <v>46041.622627314813</v>
      </c>
      <c r="C108" s="9" t="s">
        <v>40</v>
      </c>
      <c r="D108" s="10" t="s">
        <v>41</v>
      </c>
      <c r="E108" s="10" t="s">
        <v>41</v>
      </c>
      <c r="F108" s="10" t="s">
        <v>42</v>
      </c>
      <c r="G108" s="10">
        <v>1190973</v>
      </c>
      <c r="H108" s="20">
        <v>16</v>
      </c>
      <c r="I108" s="10" t="s">
        <v>245</v>
      </c>
      <c r="J108" s="10" t="s">
        <v>35</v>
      </c>
      <c r="K108" s="10">
        <v>13960620</v>
      </c>
      <c r="L108" s="12" t="e">
        <f>WORKDAY.INTL(INT(TblPlanner[[#This Row],[CompletionTime]]), 6, 7)</f>
        <v>#VALUE!</v>
      </c>
      <c r="M108" s="12">
        <v>46044</v>
      </c>
      <c r="N108" s="12">
        <v>46049</v>
      </c>
      <c r="O108" s="21"/>
    </row>
    <row r="109" spans="1:15">
      <c r="A109" s="23">
        <v>149</v>
      </c>
      <c r="B109" s="24">
        <v>46041.622916666667</v>
      </c>
      <c r="C109" s="9" t="s">
        <v>40</v>
      </c>
      <c r="D109" s="10" t="s">
        <v>41</v>
      </c>
      <c r="E109" s="10" t="s">
        <v>41</v>
      </c>
      <c r="F109" s="10" t="s">
        <v>42</v>
      </c>
      <c r="G109" s="10">
        <v>1190973</v>
      </c>
      <c r="H109" s="20">
        <v>16</v>
      </c>
      <c r="I109" s="10" t="s">
        <v>245</v>
      </c>
      <c r="J109" s="10" t="s">
        <v>35</v>
      </c>
      <c r="K109" s="10">
        <v>13990519</v>
      </c>
      <c r="L109" s="12" t="e">
        <f>WORKDAY.INTL(INT(TblPlanner[[#This Row],[CompletionTime]]), 6, 7)</f>
        <v>#VALUE!</v>
      </c>
      <c r="M109" s="12">
        <v>46044</v>
      </c>
      <c r="N109" s="12">
        <v>46049</v>
      </c>
      <c r="O109" s="21"/>
    </row>
    <row r="110" spans="1:15">
      <c r="A110" s="23">
        <v>157</v>
      </c>
      <c r="B110" s="24">
        <v>46044.541192129633</v>
      </c>
      <c r="C110" s="9" t="s">
        <v>64</v>
      </c>
      <c r="D110" s="10" t="s">
        <v>85</v>
      </c>
      <c r="E110" s="10" t="s">
        <v>85</v>
      </c>
      <c r="F110" s="10" t="s">
        <v>66</v>
      </c>
      <c r="G110" s="10">
        <v>1033011</v>
      </c>
      <c r="H110" s="20">
        <v>16</v>
      </c>
      <c r="I110" s="10" t="s">
        <v>88</v>
      </c>
      <c r="J110" s="10" t="s">
        <v>35</v>
      </c>
      <c r="K110" s="10">
        <v>13958466</v>
      </c>
      <c r="L110" s="12" t="e">
        <f>WORKDAY.INTL(INT(TblPlanner[[#This Row],[CompletionTime]]), 6, 7)</f>
        <v>#VALUE!</v>
      </c>
      <c r="M110" s="12">
        <v>46044</v>
      </c>
      <c r="N110" s="12">
        <v>46049</v>
      </c>
      <c r="O110" s="21"/>
    </row>
    <row r="111" spans="1:15">
      <c r="A111" s="23">
        <v>158</v>
      </c>
      <c r="B111" s="24">
        <v>46044.542997685188</v>
      </c>
      <c r="C111" s="9" t="s">
        <v>64</v>
      </c>
      <c r="D111" s="10" t="s">
        <v>85</v>
      </c>
      <c r="E111" s="10" t="s">
        <v>85</v>
      </c>
      <c r="F111" s="10" t="s">
        <v>66</v>
      </c>
      <c r="G111" s="10">
        <v>1033011</v>
      </c>
      <c r="H111" s="20">
        <v>16</v>
      </c>
      <c r="I111" s="10" t="s">
        <v>88</v>
      </c>
      <c r="J111" s="10" t="s">
        <v>35</v>
      </c>
      <c r="K111" s="10">
        <v>13958467</v>
      </c>
      <c r="L111" s="12" t="e">
        <f>WORKDAY.INTL(INT(TblPlanner[[#This Row],[CompletionTime]]), 6, 7)</f>
        <v>#VALUE!</v>
      </c>
      <c r="M111" s="12">
        <v>46044</v>
      </c>
      <c r="N111" s="12">
        <v>46049</v>
      </c>
      <c r="O111" s="21"/>
    </row>
    <row r="112" spans="1:15">
      <c r="A112" s="23">
        <v>152</v>
      </c>
      <c r="B112" s="24">
        <v>46042.454930555556</v>
      </c>
      <c r="C112" s="9" t="s">
        <v>31</v>
      </c>
      <c r="D112" s="10" t="s">
        <v>44</v>
      </c>
      <c r="E112" s="10" t="s">
        <v>44</v>
      </c>
      <c r="F112" s="10" t="s">
        <v>33</v>
      </c>
      <c r="G112" s="10">
        <v>2022318</v>
      </c>
      <c r="H112" s="20">
        <v>8.5</v>
      </c>
      <c r="I112" s="10" t="s">
        <v>38</v>
      </c>
      <c r="J112" s="10" t="s">
        <v>35</v>
      </c>
      <c r="K112" s="10">
        <v>14487986</v>
      </c>
      <c r="L112" s="12" t="e">
        <f>WORKDAY.INTL(INT(TblPlanner[[#This Row],[CompletionTime]]), 6, 7)</f>
        <v>#VALUE!</v>
      </c>
      <c r="M112" s="12">
        <v>46047</v>
      </c>
      <c r="N112" s="12"/>
      <c r="O112" s="21"/>
    </row>
    <row r="113" spans="1:15">
      <c r="A113" s="23">
        <v>150</v>
      </c>
      <c r="B113" s="24">
        <v>46042.453229166669</v>
      </c>
      <c r="C113" s="25" t="s">
        <v>31</v>
      </c>
      <c r="D113" s="10" t="s">
        <v>44</v>
      </c>
      <c r="E113" s="10" t="s">
        <v>44</v>
      </c>
      <c r="F113" s="10" t="s">
        <v>45</v>
      </c>
      <c r="G113" s="10">
        <v>1276939</v>
      </c>
      <c r="H113" s="20">
        <v>8.5</v>
      </c>
      <c r="I113" s="10" t="s">
        <v>38</v>
      </c>
      <c r="J113" s="10" t="s">
        <v>19</v>
      </c>
      <c r="K113" s="10">
        <v>14414032</v>
      </c>
      <c r="L113" s="12" t="e">
        <f>WORKDAY.INTL(INT(TblPlanner[[#This Row],[CompletionTime]]), 6, 7)</f>
        <v>#VALUE!</v>
      </c>
      <c r="M113" s="12">
        <v>46044</v>
      </c>
      <c r="N113" s="12">
        <v>46049</v>
      </c>
      <c r="O113" s="21" t="s">
        <v>246</v>
      </c>
    </row>
    <row r="114" spans="1:15">
      <c r="A114" s="23">
        <v>156</v>
      </c>
      <c r="B114" s="24">
        <v>46044.461099537039</v>
      </c>
      <c r="C114" s="25" t="s">
        <v>31</v>
      </c>
      <c r="D114" s="10" t="s">
        <v>44</v>
      </c>
      <c r="E114" s="10" t="s">
        <v>44</v>
      </c>
      <c r="F114" s="10" t="s">
        <v>45</v>
      </c>
      <c r="G114" s="10">
        <v>2019412</v>
      </c>
      <c r="H114" s="20">
        <v>8.5</v>
      </c>
      <c r="I114" s="10" t="s">
        <v>190</v>
      </c>
      <c r="J114" s="10" t="s">
        <v>19</v>
      </c>
      <c r="K114" s="10" t="s">
        <v>247</v>
      </c>
      <c r="L114" s="12" t="e">
        <f>WORKDAY.INTL(INT(TblPlanner[[#This Row],[CompletionTime]]), 6, 7)</f>
        <v>#VALUE!</v>
      </c>
      <c r="M114" s="12"/>
      <c r="N114" s="12">
        <v>46049</v>
      </c>
      <c r="O114" s="21" t="s">
        <v>248</v>
      </c>
    </row>
    <row r="115" spans="1:15">
      <c r="A115" s="23">
        <v>119</v>
      </c>
      <c r="B115" s="24">
        <v>46034.418842592589</v>
      </c>
      <c r="C115" s="9" t="s">
        <v>219</v>
      </c>
      <c r="D115" s="10" t="s">
        <v>220</v>
      </c>
      <c r="E115" s="10" t="s">
        <v>220</v>
      </c>
      <c r="F115" s="10" t="s">
        <v>33</v>
      </c>
      <c r="G115" s="10">
        <v>1267027</v>
      </c>
      <c r="H115" s="20">
        <v>8.375</v>
      </c>
      <c r="I115" s="10" t="s">
        <v>87</v>
      </c>
      <c r="J115" s="10" t="s">
        <v>35</v>
      </c>
      <c r="K115" s="10">
        <v>14492191</v>
      </c>
      <c r="L115" s="12" t="e">
        <f>WORKDAY.INTL(INT(TblPlanner[[#This Row],[CompletionTime]]), 6, 7)</f>
        <v>#VALUE!</v>
      </c>
      <c r="M115" s="12">
        <v>46035</v>
      </c>
      <c r="N115" s="12">
        <v>46050</v>
      </c>
      <c r="O115" s="21" t="s">
        <v>249</v>
      </c>
    </row>
    <row r="116" spans="1:15">
      <c r="A116" s="23">
        <v>161</v>
      </c>
      <c r="B116" s="24">
        <v>46046.620972222219</v>
      </c>
      <c r="C116" s="9" t="s">
        <v>31</v>
      </c>
      <c r="D116" s="10" t="s">
        <v>44</v>
      </c>
      <c r="E116" s="10" t="s">
        <v>44</v>
      </c>
      <c r="F116" s="10" t="s">
        <v>45</v>
      </c>
      <c r="G116" s="10">
        <v>2022318</v>
      </c>
      <c r="H116" s="20">
        <v>8.5</v>
      </c>
      <c r="I116" s="10" t="s">
        <v>38</v>
      </c>
      <c r="J116" s="10" t="s">
        <v>35</v>
      </c>
      <c r="K116" s="10">
        <v>14488519</v>
      </c>
      <c r="L116" s="12" t="e">
        <f>WORKDAY.INTL(INT(TblPlanner[[#This Row],[CompletionTime]]), 6, 7)</f>
        <v>#VALUE!</v>
      </c>
      <c r="M116" s="12">
        <v>46047</v>
      </c>
      <c r="N116" s="12"/>
      <c r="O116" s="21"/>
    </row>
    <row r="117" spans="1:15">
      <c r="A117" s="23">
        <v>120</v>
      </c>
      <c r="B117" s="24">
        <v>46034.41914351852</v>
      </c>
      <c r="C117" s="9" t="s">
        <v>219</v>
      </c>
      <c r="D117" s="10" t="s">
        <v>220</v>
      </c>
      <c r="E117" s="10" t="s">
        <v>220</v>
      </c>
      <c r="F117" s="10" t="s">
        <v>33</v>
      </c>
      <c r="G117" s="10">
        <v>1267027</v>
      </c>
      <c r="H117" s="20">
        <v>8.375</v>
      </c>
      <c r="I117" s="10" t="s">
        <v>87</v>
      </c>
      <c r="J117" s="10" t="s">
        <v>35</v>
      </c>
      <c r="K117" s="10">
        <v>14492192</v>
      </c>
      <c r="L117" s="12" t="e">
        <f>WORKDAY.INTL(
    INT(TblPlanner[[#This Row],[CompletionTime]]),
    IF(AND(TblPlanner[[#This Row],[Business Unit]]="UR Rental - Sperry", TblPlanner[[#This Row],[New / Repair]]="Repair"), 4, 6),
    7
)</f>
        <v>#VALUE!</v>
      </c>
      <c r="M117" s="12">
        <v>46036</v>
      </c>
      <c r="N117" s="12">
        <v>46054</v>
      </c>
      <c r="O117" s="21" t="s">
        <v>250</v>
      </c>
    </row>
    <row r="118" spans="1:15">
      <c r="A118" s="23">
        <v>146</v>
      </c>
      <c r="B118" s="24">
        <v>46041.315185185187</v>
      </c>
      <c r="C118" s="9" t="s">
        <v>64</v>
      </c>
      <c r="D118" s="10" t="s">
        <v>65</v>
      </c>
      <c r="E118" s="10" t="s">
        <v>65</v>
      </c>
      <c r="F118" s="10" t="s">
        <v>66</v>
      </c>
      <c r="G118" s="10">
        <v>2028515</v>
      </c>
      <c r="H118" s="20">
        <v>8.375</v>
      </c>
      <c r="I118" s="10" t="s">
        <v>81</v>
      </c>
      <c r="J118" s="10" t="s">
        <v>35</v>
      </c>
      <c r="K118" s="10">
        <v>14476930</v>
      </c>
      <c r="L118" s="12" t="e">
        <f>WORKDAY.INTL(
    INT(TblPlanner[[#This Row],[CompletionTime]]),
    IF(AND(TblPlanner[[#This Row],[Business Unit]]="UR Rental - Sperry", TblPlanner[[#This Row],[New / Repair]]="Repair"), 4, 6),
    7
)</f>
        <v>#VALUE!</v>
      </c>
      <c r="M118" s="12">
        <v>46050</v>
      </c>
      <c r="N118" s="12">
        <v>46054</v>
      </c>
      <c r="O118" s="21"/>
    </row>
    <row r="119" spans="1:15">
      <c r="A119" s="23">
        <v>154</v>
      </c>
      <c r="B119" s="24">
        <v>46042.455949074072</v>
      </c>
      <c r="C119" s="9" t="s">
        <v>31</v>
      </c>
      <c r="D119" s="10" t="s">
        <v>44</v>
      </c>
      <c r="E119" s="10" t="s">
        <v>44</v>
      </c>
      <c r="F119" s="10" t="s">
        <v>45</v>
      </c>
      <c r="G119" s="10">
        <v>1158011</v>
      </c>
      <c r="H119" s="20">
        <v>8.5</v>
      </c>
      <c r="I119" s="10" t="s">
        <v>216</v>
      </c>
      <c r="J119" s="10" t="s">
        <v>35</v>
      </c>
      <c r="K119" s="10">
        <v>14353144</v>
      </c>
      <c r="L119" s="12" t="e">
        <f>WORKDAY.INTL(
    INT(TblPlanner[[#This Row],[CompletionTime]]),
    IF(AND(TblPlanner[[#This Row],[Business Unit]]="UR Rental - Sperry", TblPlanner[[#This Row],[New / Repair]]="Repair"), 4, 6),
    7
)</f>
        <v>#VALUE!</v>
      </c>
      <c r="M119" s="12">
        <v>46050</v>
      </c>
      <c r="N119" s="12">
        <v>46054</v>
      </c>
      <c r="O119" s="21"/>
    </row>
    <row r="120" spans="1:15">
      <c r="A120" s="23">
        <v>163</v>
      </c>
      <c r="B120" s="24">
        <v>46046.622002314813</v>
      </c>
      <c r="C120" s="9" t="s">
        <v>31</v>
      </c>
      <c r="D120" s="10" t="s">
        <v>44</v>
      </c>
      <c r="E120" s="10" t="s">
        <v>44</v>
      </c>
      <c r="F120" s="10" t="s">
        <v>45</v>
      </c>
      <c r="G120" s="10">
        <v>1158011</v>
      </c>
      <c r="H120" s="20">
        <v>8.5</v>
      </c>
      <c r="I120" s="10" t="s">
        <v>216</v>
      </c>
      <c r="J120" s="10" t="s">
        <v>35</v>
      </c>
      <c r="K120" s="10">
        <v>14353146</v>
      </c>
      <c r="L120" s="12" t="e">
        <f>WORKDAY.INTL(
    INT(TblPlanner[[#This Row],[CompletionTime]]),
    IF(AND(TblPlanner[[#This Row],[Business Unit]]="UR Rental - Sperry", TblPlanner[[#This Row],[New / Repair]]="Repair"), 4, 6),
    7
)</f>
        <v>#VALUE!</v>
      </c>
      <c r="M120" s="12">
        <v>46050</v>
      </c>
      <c r="N120" s="12">
        <v>46054</v>
      </c>
      <c r="O120" s="21"/>
    </row>
    <row r="121" spans="1:15">
      <c r="A121" s="23">
        <v>125</v>
      </c>
      <c r="B121" s="24">
        <v>46037.607638888891</v>
      </c>
      <c r="C121" s="9" t="s">
        <v>15</v>
      </c>
      <c r="D121" s="10" t="s">
        <v>16</v>
      </c>
      <c r="E121" s="10" t="s">
        <v>16</v>
      </c>
      <c r="F121" s="10" t="s">
        <v>17</v>
      </c>
      <c r="G121" s="10">
        <v>1251085</v>
      </c>
      <c r="H121" s="20">
        <v>6.125</v>
      </c>
      <c r="I121" s="10" t="s">
        <v>125</v>
      </c>
      <c r="J121" s="10" t="s">
        <v>19</v>
      </c>
      <c r="K121" s="10" t="s">
        <v>251</v>
      </c>
      <c r="L121" s="12" t="e">
        <f>WORKDAY.INTL(
    INT(TblPlanner[[#This Row],[CompletionTime]]),
    IF(AND(TblPlanner[[#This Row],[Business Unit]]="UR Rental - Sperry", TblPlanner[[#This Row],[New / Repair]]="Repair"), 4, 6),
    7
)</f>
        <v>#VALUE!</v>
      </c>
      <c r="M121" s="12">
        <v>46035</v>
      </c>
      <c r="N121" s="12">
        <v>46054</v>
      </c>
      <c r="O121" s="21"/>
    </row>
    <row r="122" spans="1:15">
      <c r="A122" s="23">
        <v>136</v>
      </c>
      <c r="B122" s="24">
        <v>46040.37394675926</v>
      </c>
      <c r="C122" s="9" t="s">
        <v>15</v>
      </c>
      <c r="D122" s="10" t="s">
        <v>16</v>
      </c>
      <c r="E122" s="10" t="s">
        <v>16</v>
      </c>
      <c r="F122" s="10" t="s">
        <v>17</v>
      </c>
      <c r="G122" s="10">
        <v>1251085</v>
      </c>
      <c r="H122" s="20">
        <v>6.125</v>
      </c>
      <c r="I122" s="10" t="s">
        <v>187</v>
      </c>
      <c r="J122" s="10" t="s">
        <v>19</v>
      </c>
      <c r="K122" s="10" t="s">
        <v>252</v>
      </c>
      <c r="L122" s="12" t="e">
        <f>WORKDAY.INTL(
    INT(TblPlanner[[#This Row],[CompletionTime]]),
    IF(AND(TblPlanner[[#This Row],[Business Unit]]="UR Rental - Sperry", TblPlanner[[#This Row],[New / Repair]]="Repair"), 4, 6),
    7
)</f>
        <v>#VALUE!</v>
      </c>
      <c r="M122" s="12">
        <v>46040</v>
      </c>
      <c r="N122" s="12">
        <v>46054</v>
      </c>
      <c r="O122" s="21"/>
    </row>
    <row r="123" spans="1:15">
      <c r="A123" s="23">
        <v>214</v>
      </c>
      <c r="B123" s="24">
        <v>46051.409733796296</v>
      </c>
      <c r="C123" s="9" t="s">
        <v>31</v>
      </c>
      <c r="D123" s="10" t="s">
        <v>44</v>
      </c>
      <c r="E123" s="10" t="s">
        <v>44</v>
      </c>
      <c r="F123" s="10" t="s">
        <v>45</v>
      </c>
      <c r="G123" s="10">
        <v>1267829</v>
      </c>
      <c r="H123" s="20">
        <v>8.5</v>
      </c>
      <c r="I123" s="10" t="s">
        <v>216</v>
      </c>
      <c r="J123" s="10" t="s">
        <v>19</v>
      </c>
      <c r="K123" s="10">
        <v>14204331</v>
      </c>
      <c r="L123" s="12" t="e">
        <f>WORKDAY.INTL(
    INT(TblPlanner[[#This Row],[CompletionTime]]),
    IF(AND(TblPlanner[[#This Row],[Business Unit]]="UR Rental - Sperry", TblPlanner[[#This Row],[New / Repair]]="Repair"), 4, 6),
    7
)</f>
        <v>#VALUE!</v>
      </c>
      <c r="M123" s="12"/>
      <c r="N123" s="12">
        <v>46054</v>
      </c>
      <c r="O123" s="21" t="s">
        <v>253</v>
      </c>
    </row>
    <row r="124" spans="1:15">
      <c r="A124" s="23">
        <v>140</v>
      </c>
      <c r="B124" s="24">
        <v>46040.377696759257</v>
      </c>
      <c r="C124" s="9" t="s">
        <v>15</v>
      </c>
      <c r="D124" s="10" t="s">
        <v>16</v>
      </c>
      <c r="E124" s="10" t="s">
        <v>16</v>
      </c>
      <c r="F124" s="10" t="s">
        <v>254</v>
      </c>
      <c r="G124" s="10">
        <v>1252149</v>
      </c>
      <c r="H124" s="20">
        <v>3.875</v>
      </c>
      <c r="I124" s="10" t="s">
        <v>22</v>
      </c>
      <c r="J124" s="10" t="s">
        <v>19</v>
      </c>
      <c r="K124" s="10" t="s">
        <v>255</v>
      </c>
      <c r="L124" s="12" t="e">
        <f>WORKDAY.INTL(
    INT(TblPlanner[[#This Row],[CompletionTime]]),
    IF(AND(TblPlanner[[#This Row],[Business Unit]]="UR Rental - Sperry", TblPlanner[[#This Row],[New / Repair]]="Repair"), 4, 6),
    7
)</f>
        <v>#VALUE!</v>
      </c>
      <c r="M124" s="12">
        <v>46040</v>
      </c>
      <c r="N124" s="12">
        <v>46056</v>
      </c>
      <c r="O124" s="21" t="s">
        <v>154</v>
      </c>
    </row>
    <row r="125" spans="1:15">
      <c r="A125" s="23">
        <v>159</v>
      </c>
      <c r="B125" s="24">
        <v>46046.619942129626</v>
      </c>
      <c r="C125" s="25" t="s">
        <v>31</v>
      </c>
      <c r="D125" s="10" t="s">
        <v>44</v>
      </c>
      <c r="E125" s="10" t="s">
        <v>44</v>
      </c>
      <c r="F125" s="10" t="s">
        <v>45</v>
      </c>
      <c r="G125" s="10">
        <v>1276939</v>
      </c>
      <c r="H125" s="20">
        <v>8.5</v>
      </c>
      <c r="I125" s="10" t="s">
        <v>256</v>
      </c>
      <c r="J125" s="10" t="s">
        <v>19</v>
      </c>
      <c r="K125" s="10" t="s">
        <v>257</v>
      </c>
      <c r="L125" s="12" t="e">
        <f>WORKDAY.INTL(
    INT(TblPlanner[[#This Row],[CompletionTime]]),
    IF(AND(TblPlanner[[#This Row],[Business Unit]]="UR Rental - Sperry", TblPlanner[[#This Row],[New / Repair]]="Repair"), 4, 6),
    7
)</f>
        <v>#VALUE!</v>
      </c>
      <c r="M125" s="12"/>
      <c r="N125" s="12">
        <v>46055</v>
      </c>
      <c r="O125" s="21" t="s">
        <v>258</v>
      </c>
    </row>
    <row r="126" spans="1:15">
      <c r="A126" s="23">
        <v>143</v>
      </c>
      <c r="B126" s="24">
        <v>46041.303668981483</v>
      </c>
      <c r="C126" s="9" t="s">
        <v>64</v>
      </c>
      <c r="D126" s="10" t="s">
        <v>85</v>
      </c>
      <c r="E126" s="10" t="s">
        <v>85</v>
      </c>
      <c r="F126" s="10" t="s">
        <v>66</v>
      </c>
      <c r="G126" s="10">
        <v>1058252</v>
      </c>
      <c r="H126" s="20">
        <v>16</v>
      </c>
      <c r="I126" s="10" t="s">
        <v>28</v>
      </c>
      <c r="J126" s="10" t="s">
        <v>35</v>
      </c>
      <c r="K126" s="10">
        <v>14200866</v>
      </c>
      <c r="L126" s="12" t="e">
        <f>WORKDAY.INTL(
    INT(TblPlanner[[#This Row],[CompletionTime]]),
    IF(AND(TblPlanner[[#This Row],[Business Unit]]="UR Rental - Sperry", TblPlanner[[#This Row],[New / Repair]]="Repair"), 4, 6),
    7
)</f>
        <v>#VALUE!</v>
      </c>
      <c r="M126" s="12">
        <v>46048</v>
      </c>
      <c r="N126" s="12">
        <v>46054</v>
      </c>
      <c r="O126" s="21" t="s">
        <v>259</v>
      </c>
    </row>
    <row r="127" spans="1:15">
      <c r="A127" s="23">
        <v>126</v>
      </c>
      <c r="B127" s="24">
        <v>46037.608622685184</v>
      </c>
      <c r="C127" s="9" t="s">
        <v>15</v>
      </c>
      <c r="D127" s="10" t="s">
        <v>16</v>
      </c>
      <c r="E127" s="10" t="s">
        <v>16</v>
      </c>
      <c r="F127" s="10" t="s">
        <v>17</v>
      </c>
      <c r="G127" s="10">
        <v>1251085</v>
      </c>
      <c r="H127" s="20">
        <v>6.125</v>
      </c>
      <c r="I127" s="10" t="s">
        <v>125</v>
      </c>
      <c r="J127" s="10" t="s">
        <v>19</v>
      </c>
      <c r="K127" s="10" t="s">
        <v>260</v>
      </c>
      <c r="L127" s="12" t="e">
        <f>WORKDAY.INTL(
    INT(TblPlanner[[#This Row],[CompletionTime]]),
    IF(AND(TblPlanner[[#This Row],[Business Unit]]="UR Rental - Sperry", TblPlanner[[#This Row],[New / Repair]]="Repair"), 4, 6),
    7
)</f>
        <v>#VALUE!</v>
      </c>
      <c r="M127" s="12">
        <v>46035</v>
      </c>
      <c r="N127" s="12">
        <v>46057</v>
      </c>
      <c r="O127" s="21"/>
    </row>
    <row r="128" spans="1:15">
      <c r="A128" s="23">
        <v>145</v>
      </c>
      <c r="B128" s="24">
        <v>46041.312106481484</v>
      </c>
      <c r="C128" s="9" t="s">
        <v>64</v>
      </c>
      <c r="D128" s="10" t="s">
        <v>65</v>
      </c>
      <c r="E128" s="10" t="s">
        <v>65</v>
      </c>
      <c r="F128" s="10" t="s">
        <v>66</v>
      </c>
      <c r="G128" s="10">
        <v>2016920</v>
      </c>
      <c r="H128" s="20">
        <v>3.625</v>
      </c>
      <c r="I128" s="10" t="s">
        <v>173</v>
      </c>
      <c r="J128" s="10" t="s">
        <v>35</v>
      </c>
      <c r="K128" s="10">
        <v>14489656</v>
      </c>
      <c r="L128" s="12" t="e">
        <f>WORKDAY.INTL(
    INT(TblPlanner[[#This Row],[CompletionTime]]),
    IF(AND(TblPlanner[[#This Row],[Business Unit]]="UR Rental - Sperry", TblPlanner[[#This Row],[New / Repair]]="Repair"), 4, 6),
    7
)</f>
        <v>#VALUE!</v>
      </c>
      <c r="M128" s="12">
        <v>46049</v>
      </c>
      <c r="N128" s="12">
        <v>46057</v>
      </c>
      <c r="O128" s="21"/>
    </row>
    <row r="129" spans="1:15">
      <c r="A129" s="23">
        <v>160</v>
      </c>
      <c r="B129" s="24">
        <v>46046.620555555557</v>
      </c>
      <c r="C129" s="25" t="s">
        <v>31</v>
      </c>
      <c r="D129" s="10" t="s">
        <v>44</v>
      </c>
      <c r="E129" s="10" t="s">
        <v>44</v>
      </c>
      <c r="F129" s="10" t="s">
        <v>45</v>
      </c>
      <c r="G129" s="10">
        <v>1276939</v>
      </c>
      <c r="H129" s="20">
        <v>8.5</v>
      </c>
      <c r="I129" s="10" t="s">
        <v>256</v>
      </c>
      <c r="J129" s="10" t="s">
        <v>19</v>
      </c>
      <c r="K129" s="10" t="s">
        <v>202</v>
      </c>
      <c r="L129" s="12" t="e">
        <f>WORKDAY.INTL(
    INT(TblPlanner[[#This Row],[CompletionTime]]),
    IF(AND(TblPlanner[[#This Row],[Business Unit]]="UR Rental - Sperry", TblPlanner[[#This Row],[New / Repair]]="Repair"), 4, 6),
    7
)</f>
        <v>#VALUE!</v>
      </c>
      <c r="M129" s="12"/>
      <c r="N129" s="12">
        <v>46056</v>
      </c>
      <c r="O129" s="21" t="s">
        <v>261</v>
      </c>
    </row>
    <row r="130" spans="1:15">
      <c r="A130" s="23">
        <v>129</v>
      </c>
      <c r="B130" s="24">
        <v>46037.61141203704</v>
      </c>
      <c r="C130" s="9" t="s">
        <v>15</v>
      </c>
      <c r="D130" s="10" t="s">
        <v>16</v>
      </c>
      <c r="E130" s="10" t="s">
        <v>16</v>
      </c>
      <c r="F130" s="10" t="s">
        <v>17</v>
      </c>
      <c r="G130" s="10">
        <v>1252149</v>
      </c>
      <c r="H130" s="20">
        <v>3.875</v>
      </c>
      <c r="I130" s="10" t="s">
        <v>22</v>
      </c>
      <c r="J130" s="10" t="s">
        <v>19</v>
      </c>
      <c r="K130" s="10" t="s">
        <v>188</v>
      </c>
      <c r="L130" s="12" t="e">
        <f>WORKDAY.INTL(
    INT(TblPlanner[[#This Row],[CompletionTime]]),
    IF(AND(TblPlanner[[#This Row],[Business Unit]]="UR Rental - Sperry", TblPlanner[[#This Row],[New / Repair]]="Repair"), 4, 6),
    7
)</f>
        <v>#VALUE!</v>
      </c>
      <c r="M130" s="12">
        <v>45991</v>
      </c>
      <c r="N130" s="12">
        <v>46057</v>
      </c>
      <c r="O130" s="21"/>
    </row>
    <row r="131" spans="1:15">
      <c r="A131" s="23">
        <v>162</v>
      </c>
      <c r="B131" s="24">
        <v>46046.621550925927</v>
      </c>
      <c r="C131" s="9" t="s">
        <v>31</v>
      </c>
      <c r="D131" s="10" t="s">
        <v>44</v>
      </c>
      <c r="E131" s="10" t="s">
        <v>44</v>
      </c>
      <c r="F131" s="10" t="s">
        <v>45</v>
      </c>
      <c r="G131" s="10">
        <v>2022318</v>
      </c>
      <c r="H131" s="20">
        <v>8.5</v>
      </c>
      <c r="I131" s="10" t="s">
        <v>38</v>
      </c>
      <c r="J131" s="10" t="s">
        <v>35</v>
      </c>
      <c r="K131" s="10">
        <v>14488520</v>
      </c>
      <c r="L131" s="12" t="e">
        <f>WORKDAY.INTL(
    INT(TblPlanner[[#This Row],[CompletionTime]]),
    IF(AND(TblPlanner[[#This Row],[Business Unit]]="UR Rental - Sperry", TblPlanner[[#This Row],[New / Repair]]="Repair"), 4, 6),
    7
)</f>
        <v>#VALUE!</v>
      </c>
      <c r="M131" s="12">
        <v>46048</v>
      </c>
      <c r="N131" s="12">
        <v>46057</v>
      </c>
      <c r="O131" s="21" t="s">
        <v>262</v>
      </c>
    </row>
    <row r="132" spans="1:15">
      <c r="A132" s="23">
        <v>127</v>
      </c>
      <c r="B132" s="24">
        <v>46037.609594907408</v>
      </c>
      <c r="C132" s="9" t="s">
        <v>15</v>
      </c>
      <c r="D132" s="10" t="s">
        <v>16</v>
      </c>
      <c r="E132" s="10" t="s">
        <v>16</v>
      </c>
      <c r="F132" s="10" t="s">
        <v>17</v>
      </c>
      <c r="G132" s="10">
        <v>1145824</v>
      </c>
      <c r="H132" s="20">
        <v>6.125</v>
      </c>
      <c r="I132" s="10" t="s">
        <v>125</v>
      </c>
      <c r="J132" s="10" t="s">
        <v>19</v>
      </c>
      <c r="K132" s="10" t="s">
        <v>263</v>
      </c>
      <c r="L132" s="12" t="e">
        <f>WORKDAY.INTL(
    INT(TblPlanner[[#This Row],[CompletionTime]]),
    IF(AND(TblPlanner[[#This Row],[Business Unit]]="UR Rental - Sperry", TblPlanner[[#This Row],[New / Repair]]="Repair"), 4, 6),
    7
)</f>
        <v>#VALUE!</v>
      </c>
      <c r="M132" s="12">
        <v>46035</v>
      </c>
      <c r="N132" s="12">
        <v>46057</v>
      </c>
      <c r="O132" s="21">
        <v>20261009</v>
      </c>
    </row>
    <row r="133" spans="1:15">
      <c r="A133" s="23">
        <v>172</v>
      </c>
      <c r="B133" s="24">
        <v>46050.389525462961</v>
      </c>
      <c r="C133" s="9" t="s">
        <v>31</v>
      </c>
      <c r="D133" s="10" t="s">
        <v>44</v>
      </c>
      <c r="E133" s="10" t="s">
        <v>44</v>
      </c>
      <c r="F133" s="10" t="s">
        <v>45</v>
      </c>
      <c r="G133" s="10">
        <v>2022318</v>
      </c>
      <c r="H133" s="20">
        <v>8.5</v>
      </c>
      <c r="I133" s="10" t="s">
        <v>38</v>
      </c>
      <c r="J133" s="10" t="s">
        <v>35</v>
      </c>
      <c r="K133" s="10">
        <v>14487987</v>
      </c>
      <c r="L133" s="12" t="e">
        <f>WORKDAY.INTL(
    INT(TblPlanner[[#This Row],[CompletionTime]]),
    IF(AND(TblPlanner[[#This Row],[Business Unit]]="UR Rental - Sperry", TblPlanner[[#This Row],[New / Repair]]="Repair"), 4, 6),
    7
)</f>
        <v>#VALUE!</v>
      </c>
      <c r="M133" s="12">
        <v>46054</v>
      </c>
      <c r="N133" s="12">
        <v>46057</v>
      </c>
      <c r="O133" s="21" t="s">
        <v>264</v>
      </c>
    </row>
    <row r="134" spans="1:15">
      <c r="A134" s="23">
        <v>173</v>
      </c>
      <c r="B134" s="24">
        <v>46050.391018518516</v>
      </c>
      <c r="C134" s="9" t="s">
        <v>31</v>
      </c>
      <c r="D134" s="10" t="s">
        <v>44</v>
      </c>
      <c r="E134" s="10" t="s">
        <v>44</v>
      </c>
      <c r="F134" s="10" t="s">
        <v>45</v>
      </c>
      <c r="G134" s="10">
        <v>2022318</v>
      </c>
      <c r="H134" s="20">
        <v>8.5</v>
      </c>
      <c r="I134" s="10" t="s">
        <v>38</v>
      </c>
      <c r="J134" s="10" t="s">
        <v>35</v>
      </c>
      <c r="K134" s="10">
        <v>14487988</v>
      </c>
      <c r="L134" s="12" t="e">
        <f>WORKDAY.INTL(
    INT(TblPlanner[[#This Row],[CompletionTime]]),
    IF(AND(TblPlanner[[#This Row],[Business Unit]]="UR Rental - Sperry", TblPlanner[[#This Row],[New / Repair]]="Repair"), 4, 6),
    7
)</f>
        <v>#VALUE!</v>
      </c>
      <c r="M134" s="12">
        <v>46054</v>
      </c>
      <c r="N134" s="12">
        <v>46057</v>
      </c>
      <c r="O134" s="21" t="s">
        <v>265</v>
      </c>
    </row>
    <row r="135" spans="1:15">
      <c r="A135" s="23">
        <v>131</v>
      </c>
      <c r="B135" s="24">
        <v>46037.613217592596</v>
      </c>
      <c r="C135" s="9" t="s">
        <v>15</v>
      </c>
      <c r="D135" s="10" t="s">
        <v>16</v>
      </c>
      <c r="E135" s="10" t="s">
        <v>16</v>
      </c>
      <c r="F135" s="10" t="s">
        <v>17</v>
      </c>
      <c r="G135" s="10">
        <v>1224750</v>
      </c>
      <c r="H135" s="20"/>
      <c r="I135" s="10" t="s">
        <v>266</v>
      </c>
      <c r="J135" s="10" t="s">
        <v>19</v>
      </c>
      <c r="K135" s="10" t="s">
        <v>267</v>
      </c>
      <c r="L135" s="12" t="e">
        <f>WORKDAY.INTL(
    INT(TblPlanner[[#This Row],[CompletionTime]]),
    IF(AND(TblPlanner[[#This Row],[Business Unit]]="UR Rental - Sperry", TblPlanner[[#This Row],[New / Repair]]="Repair"), 4, 6),
    7
)</f>
        <v>#VALUE!</v>
      </c>
      <c r="M135" s="12">
        <v>46019</v>
      </c>
      <c r="N135" s="12">
        <v>46063</v>
      </c>
      <c r="O135" s="21" t="s">
        <v>154</v>
      </c>
    </row>
    <row r="136" spans="1:15">
      <c r="A136" s="23">
        <v>147</v>
      </c>
      <c r="B136" s="24">
        <v>46041.31690972222</v>
      </c>
      <c r="C136" s="9" t="s">
        <v>64</v>
      </c>
      <c r="D136" s="10" t="s">
        <v>65</v>
      </c>
      <c r="E136" s="10" t="s">
        <v>65</v>
      </c>
      <c r="F136" s="10" t="s">
        <v>66</v>
      </c>
      <c r="G136" s="10">
        <v>1228690</v>
      </c>
      <c r="H136" s="20">
        <v>3.625</v>
      </c>
      <c r="I136" s="10" t="s">
        <v>165</v>
      </c>
      <c r="J136" s="10" t="s">
        <v>35</v>
      </c>
      <c r="K136" s="10">
        <v>14418426</v>
      </c>
      <c r="L136" s="12" t="e">
        <f>WORKDAY.INTL(
    INT(TblPlanner[[#This Row],[CompletionTime]]),
    IF(AND(TblPlanner[[#This Row],[Business Unit]]="UR Rental - Sperry", TblPlanner[[#This Row],[New / Repair]]="Repair"), 4, 6),
    7
)</f>
        <v>#VALUE!</v>
      </c>
      <c r="M136" s="12">
        <v>46051</v>
      </c>
      <c r="N136" s="12">
        <v>46058</v>
      </c>
      <c r="O136" s="21" t="s">
        <v>268</v>
      </c>
    </row>
    <row r="137" spans="1:15">
      <c r="A137" s="23">
        <v>167</v>
      </c>
      <c r="B137" s="24">
        <v>46048.458819444444</v>
      </c>
      <c r="C137" s="9" t="s">
        <v>31</v>
      </c>
      <c r="D137" s="10" t="s">
        <v>44</v>
      </c>
      <c r="E137" s="10" t="s">
        <v>44</v>
      </c>
      <c r="F137" s="10" t="s">
        <v>45</v>
      </c>
      <c r="G137" s="10">
        <v>1276939</v>
      </c>
      <c r="H137" s="20">
        <v>8.5</v>
      </c>
      <c r="I137" s="10" t="s">
        <v>38</v>
      </c>
      <c r="J137" s="10" t="s">
        <v>19</v>
      </c>
      <c r="K137" s="10" t="s">
        <v>269</v>
      </c>
      <c r="L137" s="12" t="e">
        <f>WORKDAY.INTL(
    INT(TblPlanner[[#This Row],[CompletionTime]]),
    IF(AND(TblPlanner[[#This Row],[Business Unit]]="UR Rental - Sperry", TblPlanner[[#This Row],[New / Repair]]="Repair"), 4, 6),
    7
)</f>
        <v>#VALUE!</v>
      </c>
      <c r="M137" s="12"/>
      <c r="N137" s="12">
        <v>46061</v>
      </c>
      <c r="O137" s="21" t="s">
        <v>270</v>
      </c>
    </row>
    <row r="138" spans="1:15">
      <c r="A138" s="23">
        <v>168</v>
      </c>
      <c r="B138" s="24">
        <v>46049.431018518517</v>
      </c>
      <c r="C138" s="9" t="s">
        <v>64</v>
      </c>
      <c r="D138" s="10" t="s">
        <v>85</v>
      </c>
      <c r="E138" s="10" t="s">
        <v>85</v>
      </c>
      <c r="F138" s="10" t="s">
        <v>66</v>
      </c>
      <c r="G138" s="10">
        <v>2016920</v>
      </c>
      <c r="H138" s="20">
        <v>3.625</v>
      </c>
      <c r="I138" s="10" t="s">
        <v>173</v>
      </c>
      <c r="J138" s="10" t="s">
        <v>35</v>
      </c>
      <c r="K138" s="10">
        <v>14489657</v>
      </c>
      <c r="L138" s="12" t="e">
        <f>WORKDAY.INTL(
    INT(TblPlanner[[#This Row],[CompletionTime]]),
    IF(AND(TblPlanner[[#This Row],[Business Unit]]="UR Rental - Sperry", TblPlanner[[#This Row],[New / Repair]]="Repair"), 4, 6),
    7
)</f>
        <v>#VALUE!</v>
      </c>
      <c r="M138" s="12">
        <v>46051</v>
      </c>
      <c r="N138" s="12">
        <v>46061</v>
      </c>
      <c r="O138" s="21" t="s">
        <v>271</v>
      </c>
    </row>
    <row r="139" spans="1:15">
      <c r="A139" s="23">
        <v>170</v>
      </c>
      <c r="B139" s="24">
        <v>46050.342222222222</v>
      </c>
      <c r="C139" s="9" t="s">
        <v>31</v>
      </c>
      <c r="D139" s="10" t="s">
        <v>44</v>
      </c>
      <c r="E139" s="10" t="s">
        <v>44</v>
      </c>
      <c r="F139" s="10" t="s">
        <v>45</v>
      </c>
      <c r="G139" s="10">
        <v>1276939</v>
      </c>
      <c r="H139" s="20">
        <v>8.5</v>
      </c>
      <c r="I139" s="10" t="s">
        <v>38</v>
      </c>
      <c r="J139" s="10" t="s">
        <v>19</v>
      </c>
      <c r="K139" s="10" t="s">
        <v>272</v>
      </c>
      <c r="L139" s="12" t="e">
        <f>WORKDAY.INTL(
    INT(TblPlanner[[#This Row],[CompletionTime]]),
    IF(AND(TblPlanner[[#This Row],[Business Unit]]="UR Rental - Sperry", TblPlanner[[#This Row],[New / Repair]]="Repair"), 4, 6),
    7
)</f>
        <v>#VALUE!</v>
      </c>
      <c r="M139" s="12"/>
      <c r="N139" s="12">
        <v>46058</v>
      </c>
      <c r="O139" s="21" t="s">
        <v>273</v>
      </c>
    </row>
  </sheetData>
  <autoFilter ref="A1:O127" xr:uid="{6A0448B8-A32B-4304-A6F1-B1CC887541F8}"/>
  <conditionalFormatting sqref="K2:K4">
    <cfRule type="duplicateValues" dxfId="78" priority="97"/>
  </conditionalFormatting>
  <conditionalFormatting sqref="K5:K8">
    <cfRule type="duplicateValues" dxfId="77" priority="96"/>
  </conditionalFormatting>
  <conditionalFormatting sqref="K9:K13">
    <cfRule type="duplicateValues" dxfId="76" priority="95"/>
  </conditionalFormatting>
  <conditionalFormatting sqref="K14">
    <cfRule type="duplicateValues" dxfId="75" priority="93"/>
    <cfRule type="duplicateValues" dxfId="74" priority="94"/>
  </conditionalFormatting>
  <conditionalFormatting sqref="K15:K16">
    <cfRule type="duplicateValues" dxfId="73" priority="91"/>
    <cfRule type="duplicateValues" dxfId="72" priority="92"/>
  </conditionalFormatting>
  <conditionalFormatting sqref="K17">
    <cfRule type="duplicateValues" dxfId="71" priority="88"/>
    <cfRule type="duplicateValues" dxfId="70" priority="89"/>
    <cfRule type="duplicateValues" dxfId="69" priority="90"/>
  </conditionalFormatting>
  <conditionalFormatting sqref="K18">
    <cfRule type="duplicateValues" dxfId="68" priority="85"/>
    <cfRule type="duplicateValues" dxfId="67" priority="86"/>
    <cfRule type="duplicateValues" dxfId="66" priority="87"/>
  </conditionalFormatting>
  <conditionalFormatting sqref="K19">
    <cfRule type="duplicateValues" dxfId="65" priority="83"/>
    <cfRule type="duplicateValues" dxfId="64" priority="84"/>
  </conditionalFormatting>
  <conditionalFormatting sqref="K20:K23">
    <cfRule type="duplicateValues" dxfId="63" priority="81"/>
    <cfRule type="duplicateValues" dxfId="62" priority="82"/>
  </conditionalFormatting>
  <conditionalFormatting sqref="K24:K27">
    <cfRule type="duplicateValues" dxfId="61" priority="79"/>
    <cfRule type="duplicateValues" dxfId="60" priority="80"/>
  </conditionalFormatting>
  <conditionalFormatting sqref="K28">
    <cfRule type="duplicateValues" dxfId="59" priority="77"/>
    <cfRule type="duplicateValues" dxfId="58" priority="78"/>
  </conditionalFormatting>
  <conditionalFormatting sqref="K29:K30">
    <cfRule type="duplicateValues" dxfId="57" priority="75"/>
    <cfRule type="duplicateValues" dxfId="56" priority="76"/>
  </conditionalFormatting>
  <conditionalFormatting sqref="K31">
    <cfRule type="duplicateValues" dxfId="55" priority="73"/>
    <cfRule type="duplicateValues" dxfId="54" priority="74"/>
  </conditionalFormatting>
  <conditionalFormatting sqref="K32:K33">
    <cfRule type="duplicateValues" dxfId="53" priority="71"/>
    <cfRule type="duplicateValues" dxfId="52" priority="72"/>
  </conditionalFormatting>
  <conditionalFormatting sqref="K34">
    <cfRule type="duplicateValues" dxfId="51" priority="69"/>
    <cfRule type="duplicateValues" dxfId="50" priority="70"/>
  </conditionalFormatting>
  <conditionalFormatting sqref="K35">
    <cfRule type="duplicateValues" dxfId="49" priority="67"/>
    <cfRule type="duplicateValues" dxfId="48" priority="68"/>
  </conditionalFormatting>
  <conditionalFormatting sqref="K36">
    <cfRule type="duplicateValues" dxfId="47" priority="65"/>
    <cfRule type="duplicateValues" dxfId="46" priority="66"/>
  </conditionalFormatting>
  <conditionalFormatting sqref="K37">
    <cfRule type="duplicateValues" dxfId="45" priority="63"/>
    <cfRule type="duplicateValues" dxfId="44" priority="64"/>
  </conditionalFormatting>
  <conditionalFormatting sqref="K38">
    <cfRule type="duplicateValues" dxfId="43" priority="61"/>
    <cfRule type="duplicateValues" dxfId="42" priority="62"/>
  </conditionalFormatting>
  <conditionalFormatting sqref="K39">
    <cfRule type="duplicateValues" dxfId="41" priority="59"/>
    <cfRule type="duplicateValues" dxfId="40" priority="60"/>
  </conditionalFormatting>
  <conditionalFormatting sqref="K40">
    <cfRule type="duplicateValues" dxfId="39" priority="57"/>
    <cfRule type="duplicateValues" dxfId="38" priority="58"/>
  </conditionalFormatting>
  <conditionalFormatting sqref="K41">
    <cfRule type="duplicateValues" dxfId="37" priority="55"/>
    <cfRule type="duplicateValues" dxfId="36" priority="56"/>
  </conditionalFormatting>
  <conditionalFormatting sqref="K42">
    <cfRule type="duplicateValues" dxfId="35" priority="53"/>
    <cfRule type="duplicateValues" dxfId="34" priority="54"/>
  </conditionalFormatting>
  <conditionalFormatting sqref="K43">
    <cfRule type="duplicateValues" dxfId="33" priority="51"/>
    <cfRule type="duplicateValues" dxfId="32" priority="52"/>
  </conditionalFormatting>
  <conditionalFormatting sqref="K44">
    <cfRule type="duplicateValues" dxfId="31" priority="49"/>
    <cfRule type="duplicateValues" dxfId="30" priority="50"/>
  </conditionalFormatting>
  <conditionalFormatting sqref="K45">
    <cfRule type="duplicateValues" dxfId="29" priority="47"/>
    <cfRule type="duplicateValues" dxfId="28" priority="48"/>
  </conditionalFormatting>
  <conditionalFormatting sqref="K46">
    <cfRule type="duplicateValues" dxfId="27" priority="45"/>
    <cfRule type="duplicateValues" dxfId="26" priority="46"/>
  </conditionalFormatting>
  <conditionalFormatting sqref="K47">
    <cfRule type="duplicateValues" dxfId="25" priority="43"/>
  </conditionalFormatting>
  <conditionalFormatting sqref="K48">
    <cfRule type="duplicateValues" dxfId="24" priority="41"/>
  </conditionalFormatting>
  <conditionalFormatting sqref="K49">
    <cfRule type="duplicateValues" dxfId="23" priority="39"/>
  </conditionalFormatting>
  <conditionalFormatting sqref="K50">
    <cfRule type="duplicateValues" dxfId="22" priority="37"/>
  </conditionalFormatting>
  <conditionalFormatting sqref="K51">
    <cfRule type="duplicateValues" dxfId="21" priority="35"/>
  </conditionalFormatting>
  <conditionalFormatting sqref="K52">
    <cfRule type="duplicateValues" dxfId="20" priority="33"/>
  </conditionalFormatting>
  <conditionalFormatting sqref="K53:K54">
    <cfRule type="duplicateValues" dxfId="19" priority="31"/>
  </conditionalFormatting>
  <conditionalFormatting sqref="K55:K57">
    <cfRule type="duplicateValues" dxfId="18" priority="29"/>
  </conditionalFormatting>
  <conditionalFormatting sqref="K58">
    <cfRule type="duplicateValues" dxfId="17" priority="25"/>
  </conditionalFormatting>
  <conditionalFormatting sqref="K58">
    <cfRule type="duplicateValues" dxfId="16" priority="26"/>
  </conditionalFormatting>
  <conditionalFormatting sqref="K59">
    <cfRule type="duplicateValues" dxfId="15" priority="23"/>
  </conditionalFormatting>
  <conditionalFormatting sqref="K59">
    <cfRule type="duplicateValues" dxfId="14" priority="24"/>
  </conditionalFormatting>
  <conditionalFormatting sqref="K60">
    <cfRule type="duplicateValues" dxfId="13" priority="21"/>
  </conditionalFormatting>
  <conditionalFormatting sqref="K60">
    <cfRule type="duplicateValues" dxfId="12" priority="22"/>
  </conditionalFormatting>
  <conditionalFormatting sqref="K61">
    <cfRule type="duplicateValues" dxfId="11" priority="19"/>
  </conditionalFormatting>
  <conditionalFormatting sqref="K61">
    <cfRule type="duplicateValues" dxfId="10" priority="20"/>
  </conditionalFormatting>
  <conditionalFormatting sqref="K62">
    <cfRule type="duplicateValues" dxfId="9" priority="17"/>
  </conditionalFormatting>
  <conditionalFormatting sqref="K62">
    <cfRule type="duplicateValues" dxfId="8" priority="18"/>
  </conditionalFormatting>
  <conditionalFormatting sqref="K63:K64">
    <cfRule type="duplicateValues" dxfId="7" priority="15"/>
  </conditionalFormatting>
  <conditionalFormatting sqref="K65">
    <cfRule type="duplicateValues" dxfId="6" priority="13"/>
  </conditionalFormatting>
  <conditionalFormatting sqref="K66:K67">
    <cfRule type="duplicateValues" dxfId="5" priority="11"/>
  </conditionalFormatting>
  <conditionalFormatting sqref="K68">
    <cfRule type="duplicateValues" dxfId="4" priority="9"/>
  </conditionalFormatting>
  <conditionalFormatting sqref="K69:K70">
    <cfRule type="duplicateValues" dxfId="3" priority="7"/>
  </conditionalFormatting>
  <conditionalFormatting sqref="K72">
    <cfRule type="duplicateValues" dxfId="2" priority="5"/>
  </conditionalFormatting>
  <conditionalFormatting sqref="K71:K72">
    <cfRule type="duplicateValues" dxfId="1" priority="4"/>
  </conditionalFormatting>
  <conditionalFormatting sqref="K73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Mohammad Irshad</dc:creator>
  <cp:keywords/>
  <dc:description/>
  <cp:lastModifiedBy/>
  <cp:revision/>
  <dcterms:created xsi:type="dcterms:W3CDTF">2015-06-05T18:17:20Z</dcterms:created>
  <dcterms:modified xsi:type="dcterms:W3CDTF">2026-02-06T17:38:53Z</dcterms:modified>
  <cp:category/>
  <cp:contentStatus/>
</cp:coreProperties>
</file>